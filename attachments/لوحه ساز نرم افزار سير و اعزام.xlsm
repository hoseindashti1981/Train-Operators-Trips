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E:\مترو\لوحه ساز\"/>
    </mc:Choice>
  </mc:AlternateContent>
  <xr:revisionPtr revIDLastSave="0" documentId="13_ncr:1_{C210FE22-BDDA-41BC-87DF-C17853C34277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heet1" sheetId="1" r:id="rId1"/>
    <sheet name="selected-lohe" sheetId="9" state="hidden" r:id="rId2"/>
    <sheet name="pardazesh" sheetId="11" r:id="rId3"/>
    <sheet name="Sheet8" sheetId="12" state="hidden" r:id="rId4"/>
    <sheet name="Shift-GOL" sheetId="13" state="hidden" r:id="rId5"/>
    <sheet name="Shift-TEH" sheetId="14" state="hidden" r:id="rId6"/>
  </sheets>
  <definedNames>
    <definedName name="_xlnm._FilterDatabase" localSheetId="1" hidden="1">'selected-lohe'!$A$3:$H$355</definedName>
    <definedName name="_xlnm._FilterDatabase" localSheetId="4" hidden="1">'Shift-GOL'!$N$2:$O$124</definedName>
    <definedName name="_xlnm._FilterDatabase" localSheetId="5" hidden="1">'Shift-TEH'!$N$2:$O$50</definedName>
    <definedName name="asrG">pardazesh!$E$43:$E$56</definedName>
    <definedName name="asrT">pardazesh!$N$43:$N$56</definedName>
    <definedName name="_xlnm.Criteria" localSheetId="2">pardazesh!$T$1:$T$2</definedName>
    <definedName name="_xlnm.Criteria" localSheetId="1">'selected-lohe'!$L$1:$M$2</definedName>
    <definedName name="_xlnm.Extract" localSheetId="2">pardazesh!$V$1</definedName>
    <definedName name="_xlnm.Print_Area" localSheetId="2">pardazesh!$A$2:$Q$56</definedName>
    <definedName name="sobG">pardazesh!$B$43:$B$56</definedName>
    <definedName name="sobT">pardazesh!$K$43:$K$56</definedName>
    <definedName name="timesG_aadi">pardazesh!$AC$5:$AC$41</definedName>
    <definedName name="timesG_jome">pardazesh!$AE$5:$AE$41</definedName>
    <definedName name="timesG_pang">pardazesh!$AA$5:$AA$41</definedName>
    <definedName name="timesT_aadi">pardazesh!$AD$5:$AD$41</definedName>
    <definedName name="timesT_jome">pardazesh!$AF$5:$AF$41</definedName>
    <definedName name="timesT_pang">pardazesh!$AB$5:$AB$41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 a="1"/>
  <c r="C6" i="11" s="1"/>
  <c r="C7" i="11" a="1"/>
  <c r="C7" i="11" s="1"/>
  <c r="C8" i="11" a="1"/>
  <c r="C8" i="11" s="1"/>
  <c r="C9" i="11" a="1"/>
  <c r="C9" i="11" s="1"/>
  <c r="C10" i="11" a="1"/>
  <c r="C10" i="11" s="1"/>
  <c r="C11" i="11" a="1"/>
  <c r="C11" i="11" s="1"/>
  <c r="C12" i="11" a="1"/>
  <c r="C12" i="11" s="1"/>
  <c r="C13" i="11" a="1"/>
  <c r="C13" i="11" s="1"/>
  <c r="C14" i="11" a="1"/>
  <c r="C14" i="11" s="1"/>
  <c r="C15" i="11" a="1"/>
  <c r="C15" i="11" s="1"/>
  <c r="C16" i="11" a="1"/>
  <c r="C16" i="11" s="1"/>
  <c r="C17" i="11" a="1"/>
  <c r="C17" i="11" s="1"/>
  <c r="C18" i="11" a="1"/>
  <c r="C18" i="11" s="1"/>
  <c r="C19" i="11" a="1"/>
  <c r="C19" i="11" s="1"/>
  <c r="C20" i="11" a="1"/>
  <c r="C20" i="11" s="1"/>
  <c r="C21" i="11" a="1"/>
  <c r="C21" i="11" s="1"/>
  <c r="C22" i="11" a="1"/>
  <c r="C22" i="11" s="1"/>
  <c r="C23" i="11" a="1"/>
  <c r="C23" i="11" s="1"/>
  <c r="C24" i="11" a="1"/>
  <c r="C24" i="11" s="1"/>
  <c r="C25" i="11" a="1"/>
  <c r="C25" i="11" s="1"/>
  <c r="C26" i="11" a="1"/>
  <c r="C26" i="11" s="1"/>
  <c r="C27" i="11" a="1"/>
  <c r="C27" i="11" s="1"/>
  <c r="C28" i="11" a="1"/>
  <c r="C28" i="11" s="1"/>
  <c r="C29" i="11" a="1"/>
  <c r="C29" i="11" s="1"/>
  <c r="C30" i="11" a="1"/>
  <c r="C30" i="11" s="1"/>
  <c r="C31" i="11" a="1"/>
  <c r="C31" i="11" s="1"/>
  <c r="C32" i="11" a="1"/>
  <c r="C32" i="11" s="1"/>
  <c r="C33" i="11" a="1"/>
  <c r="C33" i="11" s="1"/>
  <c r="C34" i="11" a="1"/>
  <c r="C34" i="11" s="1"/>
  <c r="C35" i="11" a="1"/>
  <c r="C35" i="11" s="1"/>
  <c r="C36" i="11" a="1"/>
  <c r="C36" i="11" s="1"/>
  <c r="C37" i="11" a="1"/>
  <c r="C37" i="11" s="1"/>
  <c r="C38" i="11" a="1"/>
  <c r="C38" i="11" s="1"/>
  <c r="C39" i="11" a="1"/>
  <c r="C39" i="11" s="1"/>
  <c r="C40" i="11" a="1"/>
  <c r="C40" i="11" s="1"/>
  <c r="C41" i="11" a="1"/>
  <c r="C41" i="11" s="1"/>
  <c r="C5" i="11" a="1"/>
  <c r="C5" i="11" s="1"/>
  <c r="Z6" i="11" l="1" a="1"/>
  <c r="Z6" i="11" s="1"/>
  <c r="Z7" i="11" a="1"/>
  <c r="Z7" i="11" s="1"/>
  <c r="Z8" i="11" a="1"/>
  <c r="Z8" i="11" s="1"/>
  <c r="Z9" i="11" a="1"/>
  <c r="Z9" i="11" s="1"/>
  <c r="Z10" i="11" a="1"/>
  <c r="Z10" i="11" s="1"/>
  <c r="Z11" i="11" a="1"/>
  <c r="Z11" i="11" s="1"/>
  <c r="Z12" i="11" a="1"/>
  <c r="Z12" i="11" s="1"/>
  <c r="Z13" i="11" a="1"/>
  <c r="Z13" i="11" s="1"/>
  <c r="Z14" i="11" a="1"/>
  <c r="Z14" i="11" s="1"/>
  <c r="Z15" i="11" a="1"/>
  <c r="Z15" i="11" s="1"/>
  <c r="Z16" i="11" a="1"/>
  <c r="Z16" i="11" s="1"/>
  <c r="Z17" i="11" a="1"/>
  <c r="Z17" i="11" s="1"/>
  <c r="Z18" i="11" a="1"/>
  <c r="Z18" i="11" s="1"/>
  <c r="Z19" i="11" a="1"/>
  <c r="Z19" i="11" s="1"/>
  <c r="Z20" i="11" a="1"/>
  <c r="Z20" i="11" s="1"/>
  <c r="Z21" i="11" a="1"/>
  <c r="Z21" i="11" s="1"/>
  <c r="Z22" i="11" a="1"/>
  <c r="Z22" i="11" s="1"/>
  <c r="Z23" i="11" a="1"/>
  <c r="Z23" i="11" s="1"/>
  <c r="Z24" i="11" a="1"/>
  <c r="Z24" i="11" s="1"/>
  <c r="Z25" i="11" a="1"/>
  <c r="Z25" i="11" s="1"/>
  <c r="Z26" i="11" a="1"/>
  <c r="Z26" i="11" s="1"/>
  <c r="Z27" i="11" a="1"/>
  <c r="Z27" i="11" s="1"/>
  <c r="Z28" i="11" a="1"/>
  <c r="Z28" i="11" s="1"/>
  <c r="Z29" i="11" a="1"/>
  <c r="Z29" i="11" s="1"/>
  <c r="Z30" i="11" a="1"/>
  <c r="Z30" i="11" s="1"/>
  <c r="Z31" i="11" a="1"/>
  <c r="Z31" i="11" s="1"/>
  <c r="Z32" i="11" a="1"/>
  <c r="Z32" i="11" s="1"/>
  <c r="Z33" i="11" a="1"/>
  <c r="Z33" i="11" s="1"/>
  <c r="Z34" i="11" a="1"/>
  <c r="Z34" i="11" s="1"/>
  <c r="Z35" i="11" a="1"/>
  <c r="Z35" i="11" s="1"/>
  <c r="Z36" i="11" a="1"/>
  <c r="Z36" i="11" s="1"/>
  <c r="Z37" i="11" a="1"/>
  <c r="Z37" i="11" s="1"/>
  <c r="Z38" i="11" a="1"/>
  <c r="Z38" i="11" s="1"/>
  <c r="Z39" i="11" a="1"/>
  <c r="Z39" i="11" s="1"/>
  <c r="Z40" i="11" a="1"/>
  <c r="Z40" i="11" s="1"/>
  <c r="Z41" i="11" a="1"/>
  <c r="Z41" i="11" s="1"/>
  <c r="Y6" i="11" a="1"/>
  <c r="Y6" i="11" s="1"/>
  <c r="Y7" i="11" a="1"/>
  <c r="Y7" i="11" s="1"/>
  <c r="Y8" i="11" a="1"/>
  <c r="Y8" i="11" s="1"/>
  <c r="Y9" i="11" a="1"/>
  <c r="Y9" i="11" s="1"/>
  <c r="Y10" i="11" a="1"/>
  <c r="Y10" i="11" s="1"/>
  <c r="Y11" i="11" a="1"/>
  <c r="Y11" i="11" s="1"/>
  <c r="Y12" i="11" a="1"/>
  <c r="Y12" i="11" s="1"/>
  <c r="Y13" i="11" a="1"/>
  <c r="Y13" i="11" s="1"/>
  <c r="Y14" i="11" a="1"/>
  <c r="Y14" i="11" s="1"/>
  <c r="Y15" i="11" a="1"/>
  <c r="Y15" i="11" s="1"/>
  <c r="Y16" i="11" a="1"/>
  <c r="Y16" i="11" s="1"/>
  <c r="Y17" i="11" a="1"/>
  <c r="Y17" i="11" s="1"/>
  <c r="Y18" i="11" a="1"/>
  <c r="Y18" i="11" s="1"/>
  <c r="Y19" i="11" a="1"/>
  <c r="Y19" i="11" s="1"/>
  <c r="Y20" i="11" a="1"/>
  <c r="Y20" i="11" s="1"/>
  <c r="Y21" i="11" a="1"/>
  <c r="Y21" i="11" s="1"/>
  <c r="Y22" i="11" a="1"/>
  <c r="Y22" i="11" s="1"/>
  <c r="Y23" i="11" a="1"/>
  <c r="Y23" i="11" s="1"/>
  <c r="Y24" i="11" a="1"/>
  <c r="Y24" i="11" s="1"/>
  <c r="Y25" i="11" a="1"/>
  <c r="Y25" i="11" s="1"/>
  <c r="Y26" i="11" a="1"/>
  <c r="Y26" i="11" s="1"/>
  <c r="Y27" i="11" a="1"/>
  <c r="Y27" i="11" s="1"/>
  <c r="Y28" i="11" a="1"/>
  <c r="Y28" i="11" s="1"/>
  <c r="Y29" i="11" a="1"/>
  <c r="Y29" i="11" s="1"/>
  <c r="Y30" i="11" a="1"/>
  <c r="Y30" i="11" s="1"/>
  <c r="Y31" i="11" a="1"/>
  <c r="Y31" i="11" s="1"/>
  <c r="Y32" i="11" a="1"/>
  <c r="Y32" i="11" s="1"/>
  <c r="Y33" i="11" a="1"/>
  <c r="Y33" i="11" s="1"/>
  <c r="Y34" i="11" a="1"/>
  <c r="Y34" i="11" s="1"/>
  <c r="Y35" i="11" a="1"/>
  <c r="Y35" i="11" s="1"/>
  <c r="Y36" i="11" a="1"/>
  <c r="Y36" i="11" s="1"/>
  <c r="Y37" i="11" a="1"/>
  <c r="Y37" i="11" s="1"/>
  <c r="Y38" i="11" a="1"/>
  <c r="Y38" i="11" s="1"/>
  <c r="Y39" i="11" a="1"/>
  <c r="Y39" i="11" s="1"/>
  <c r="Y40" i="11" a="1"/>
  <c r="Y40" i="11" s="1"/>
  <c r="Y41" i="11" a="1"/>
  <c r="Y41" i="11" s="1"/>
  <c r="X6" i="11" a="1"/>
  <c r="X6" i="11" s="1"/>
  <c r="X7" i="11" a="1"/>
  <c r="X7" i="11" s="1"/>
  <c r="X8" i="11" a="1"/>
  <c r="X8" i="11" s="1"/>
  <c r="X9" i="11" a="1"/>
  <c r="X9" i="11" s="1"/>
  <c r="X10" i="11" a="1"/>
  <c r="X10" i="11" s="1"/>
  <c r="X11" i="11" a="1"/>
  <c r="X11" i="11" s="1"/>
  <c r="X12" i="11" a="1"/>
  <c r="X12" i="11" s="1"/>
  <c r="X13" i="11" a="1"/>
  <c r="X13" i="11" s="1"/>
  <c r="X14" i="11" a="1"/>
  <c r="X14" i="11" s="1"/>
  <c r="X15" i="11" a="1"/>
  <c r="X15" i="11" s="1"/>
  <c r="X16" i="11" a="1"/>
  <c r="X16" i="11" s="1"/>
  <c r="X17" i="11" a="1"/>
  <c r="X17" i="11" s="1"/>
  <c r="X18" i="11" a="1"/>
  <c r="X18" i="11" s="1"/>
  <c r="X19" i="11" a="1"/>
  <c r="X19" i="11" s="1"/>
  <c r="X20" i="11" a="1"/>
  <c r="X20" i="11" s="1"/>
  <c r="X21" i="11" a="1"/>
  <c r="X21" i="11" s="1"/>
  <c r="X22" i="11" a="1"/>
  <c r="X22" i="11" s="1"/>
  <c r="X23" i="11" a="1"/>
  <c r="X23" i="11" s="1"/>
  <c r="X24" i="11" a="1"/>
  <c r="X24" i="11" s="1"/>
  <c r="X25" i="11" a="1"/>
  <c r="X25" i="11" s="1"/>
  <c r="X26" i="11" a="1"/>
  <c r="X26" i="11" s="1"/>
  <c r="X27" i="11" a="1"/>
  <c r="X27" i="11" s="1"/>
  <c r="X28" i="11" a="1"/>
  <c r="X28" i="11" s="1"/>
  <c r="X29" i="11" a="1"/>
  <c r="X29" i="11" s="1"/>
  <c r="X30" i="11" a="1"/>
  <c r="X30" i="11" s="1"/>
  <c r="X31" i="11" a="1"/>
  <c r="X31" i="11" s="1"/>
  <c r="X32" i="11" a="1"/>
  <c r="X32" i="11" s="1"/>
  <c r="X33" i="11" a="1"/>
  <c r="X33" i="11" s="1"/>
  <c r="X34" i="11" a="1"/>
  <c r="X34" i="11" s="1"/>
  <c r="X35" i="11" a="1"/>
  <c r="X35" i="11" s="1"/>
  <c r="X36" i="11" a="1"/>
  <c r="X36" i="11" s="1"/>
  <c r="X37" i="11" a="1"/>
  <c r="X37" i="11" s="1"/>
  <c r="X38" i="11" a="1"/>
  <c r="X38" i="11" s="1"/>
  <c r="X39" i="11" a="1"/>
  <c r="X39" i="11" s="1"/>
  <c r="X40" i="11" a="1"/>
  <c r="X40" i="11" s="1"/>
  <c r="X41" i="11" a="1"/>
  <c r="X41" i="11" s="1"/>
  <c r="W6" i="11" a="1"/>
  <c r="W6" i="11" s="1"/>
  <c r="W7" i="11" a="1"/>
  <c r="W7" i="11" s="1"/>
  <c r="W8" i="11" a="1"/>
  <c r="W8" i="11" s="1"/>
  <c r="W9" i="11" a="1"/>
  <c r="W9" i="11" s="1"/>
  <c r="W10" i="11" a="1"/>
  <c r="W10" i="11" s="1"/>
  <c r="W11" i="11" a="1"/>
  <c r="W11" i="11" s="1"/>
  <c r="W12" i="11" a="1"/>
  <c r="W12" i="11" s="1"/>
  <c r="W13" i="11" a="1"/>
  <c r="W13" i="11" s="1"/>
  <c r="W14" i="11" a="1"/>
  <c r="W14" i="11" s="1"/>
  <c r="W15" i="11" a="1"/>
  <c r="W15" i="11" s="1"/>
  <c r="W16" i="11" a="1"/>
  <c r="W16" i="11" s="1"/>
  <c r="W17" i="11" a="1"/>
  <c r="W17" i="11" s="1"/>
  <c r="W18" i="11" a="1"/>
  <c r="W18" i="11" s="1"/>
  <c r="W19" i="11" a="1"/>
  <c r="W19" i="11" s="1"/>
  <c r="W20" i="11" a="1"/>
  <c r="W20" i="11" s="1"/>
  <c r="W21" i="11" a="1"/>
  <c r="W21" i="11" s="1"/>
  <c r="W22" i="11" a="1"/>
  <c r="W22" i="11" s="1"/>
  <c r="W23" i="11" a="1"/>
  <c r="W23" i="11" s="1"/>
  <c r="W24" i="11" a="1"/>
  <c r="W24" i="11" s="1"/>
  <c r="W25" i="11" a="1"/>
  <c r="W25" i="11" s="1"/>
  <c r="W26" i="11" a="1"/>
  <c r="W26" i="11" s="1"/>
  <c r="W27" i="11" a="1"/>
  <c r="W27" i="11" s="1"/>
  <c r="W28" i="11" a="1"/>
  <c r="W28" i="11" s="1"/>
  <c r="W29" i="11" a="1"/>
  <c r="W29" i="11" s="1"/>
  <c r="W30" i="11" a="1"/>
  <c r="W30" i="11" s="1"/>
  <c r="W31" i="11" a="1"/>
  <c r="W31" i="11" s="1"/>
  <c r="W32" i="11" a="1"/>
  <c r="W32" i="11" s="1"/>
  <c r="W33" i="11" a="1"/>
  <c r="W33" i="11" s="1"/>
  <c r="W34" i="11" a="1"/>
  <c r="W34" i="11" s="1"/>
  <c r="W35" i="11" a="1"/>
  <c r="W35" i="11" s="1"/>
  <c r="W36" i="11" a="1"/>
  <c r="W36" i="11" s="1"/>
  <c r="W37" i="11" a="1"/>
  <c r="W37" i="11" s="1"/>
  <c r="W38" i="11" a="1"/>
  <c r="W38" i="11" s="1"/>
  <c r="W39" i="11" a="1"/>
  <c r="W39" i="11" s="1"/>
  <c r="W40" i="11" a="1"/>
  <c r="W40" i="11" s="1"/>
  <c r="W41" i="11" a="1"/>
  <c r="W41" i="11" s="1"/>
  <c r="Z5" i="11" a="1"/>
  <c r="Z5" i="11" s="1"/>
  <c r="Y5" i="11" a="1"/>
  <c r="Y5" i="11" s="1"/>
  <c r="X5" i="11" a="1"/>
  <c r="X5" i="11" s="1"/>
  <c r="W5" i="11" a="1"/>
  <c r="W5" i="11" s="1"/>
  <c r="H42" i="14" l="1"/>
  <c r="H46" i="14"/>
  <c r="H50" i="14"/>
  <c r="H43" i="14"/>
  <c r="H47" i="14"/>
  <c r="H44" i="14"/>
  <c r="H48" i="14"/>
  <c r="H41" i="14"/>
  <c r="H45" i="14"/>
  <c r="H49" i="14"/>
  <c r="H40" i="14"/>
  <c r="H124" i="13"/>
  <c r="H5" i="13"/>
  <c r="H7" i="13"/>
  <c r="H9" i="13"/>
  <c r="H11" i="13"/>
  <c r="H13" i="13"/>
  <c r="H15" i="13"/>
  <c r="H17" i="13"/>
  <c r="H19" i="13"/>
  <c r="H21" i="13"/>
  <c r="H23" i="13"/>
  <c r="H25" i="13"/>
  <c r="H27" i="13"/>
  <c r="H29" i="13"/>
  <c r="H31" i="13"/>
  <c r="H33" i="13"/>
  <c r="H35" i="13"/>
  <c r="H37" i="13"/>
  <c r="H39" i="13"/>
  <c r="H41" i="13"/>
  <c r="H43" i="13"/>
  <c r="H45" i="13"/>
  <c r="H47" i="13"/>
  <c r="H49" i="13"/>
  <c r="H51" i="13"/>
  <c r="H53" i="13"/>
  <c r="H55" i="13"/>
  <c r="H57" i="13"/>
  <c r="H59" i="13"/>
  <c r="H61" i="13"/>
  <c r="H63" i="13"/>
  <c r="H65" i="13"/>
  <c r="H67" i="13"/>
  <c r="H69" i="13"/>
  <c r="H71" i="13"/>
  <c r="H73" i="13"/>
  <c r="H75" i="13"/>
  <c r="H77" i="13"/>
  <c r="H79" i="13"/>
  <c r="H81" i="13"/>
  <c r="H83" i="13"/>
  <c r="H85" i="13"/>
  <c r="H87" i="13"/>
  <c r="H89" i="13"/>
  <c r="H91" i="13"/>
  <c r="H93" i="13"/>
  <c r="H95" i="13"/>
  <c r="H97" i="13"/>
  <c r="H99" i="13"/>
  <c r="H101" i="13"/>
  <c r="H103" i="13"/>
  <c r="H105" i="13"/>
  <c r="H107" i="13"/>
  <c r="H109" i="13"/>
  <c r="H111" i="13"/>
  <c r="H113" i="13"/>
  <c r="H115" i="13"/>
  <c r="H117" i="13"/>
  <c r="H119" i="13"/>
  <c r="H121" i="13"/>
  <c r="H123" i="13"/>
  <c r="H4" i="13"/>
  <c r="H6" i="13"/>
  <c r="H8" i="13"/>
  <c r="H10" i="13"/>
  <c r="H12" i="13"/>
  <c r="H14" i="13"/>
  <c r="H16" i="13"/>
  <c r="H18" i="13"/>
  <c r="H20" i="13"/>
  <c r="H22" i="13"/>
  <c r="H24" i="13"/>
  <c r="H26" i="13"/>
  <c r="H28" i="13"/>
  <c r="H30" i="13"/>
  <c r="H32" i="13"/>
  <c r="H34" i="13"/>
  <c r="H36" i="13"/>
  <c r="H38" i="13"/>
  <c r="H40" i="13"/>
  <c r="H42" i="13"/>
  <c r="H44" i="13"/>
  <c r="H46" i="13"/>
  <c r="H48" i="13"/>
  <c r="H50" i="13"/>
  <c r="H52" i="13"/>
  <c r="H54" i="13"/>
  <c r="H56" i="13"/>
  <c r="H58" i="13"/>
  <c r="H60" i="13"/>
  <c r="H62" i="13"/>
  <c r="H64" i="13"/>
  <c r="H66" i="13"/>
  <c r="H68" i="13"/>
  <c r="H70" i="13"/>
  <c r="H72" i="13"/>
  <c r="H74" i="13"/>
  <c r="H76" i="13"/>
  <c r="H78" i="13"/>
  <c r="H80" i="13"/>
  <c r="H82" i="13"/>
  <c r="H84" i="13"/>
  <c r="H86" i="13"/>
  <c r="H88" i="13"/>
  <c r="H90" i="13"/>
  <c r="H92" i="13"/>
  <c r="H94" i="13"/>
  <c r="H96" i="13"/>
  <c r="H98" i="13"/>
  <c r="H100" i="13"/>
  <c r="H102" i="13"/>
  <c r="H104" i="13"/>
  <c r="H106" i="13"/>
  <c r="H108" i="13"/>
  <c r="H110" i="13"/>
  <c r="H112" i="13"/>
  <c r="H114" i="13"/>
  <c r="H116" i="13"/>
  <c r="H118" i="13"/>
  <c r="H120" i="13"/>
  <c r="H122" i="13"/>
  <c r="H3" i="13"/>
  <c r="N118" i="13" l="1"/>
  <c r="O118" i="13"/>
  <c r="N122" i="13"/>
  <c r="O122" i="13"/>
  <c r="N114" i="13"/>
  <c r="O114" i="13"/>
  <c r="N106" i="13"/>
  <c r="O106" i="13"/>
  <c r="N98" i="13"/>
  <c r="O98" i="13"/>
  <c r="N90" i="13"/>
  <c r="O90" i="13"/>
  <c r="N82" i="13"/>
  <c r="O82" i="13"/>
  <c r="N74" i="13"/>
  <c r="O74" i="13"/>
  <c r="N66" i="13"/>
  <c r="O66" i="13"/>
  <c r="N58" i="13"/>
  <c r="O58" i="13"/>
  <c r="N50" i="13"/>
  <c r="O50" i="13"/>
  <c r="N42" i="13"/>
  <c r="O42" i="13"/>
  <c r="N34" i="13"/>
  <c r="O34" i="13"/>
  <c r="N26" i="13"/>
  <c r="O26" i="13"/>
  <c r="N18" i="13"/>
  <c r="O18" i="13"/>
  <c r="N10" i="13"/>
  <c r="O10" i="13"/>
  <c r="N123" i="13"/>
  <c r="O123" i="13"/>
  <c r="N115" i="13"/>
  <c r="O115" i="13"/>
  <c r="N107" i="13"/>
  <c r="O107" i="13"/>
  <c r="N99" i="13"/>
  <c r="O99" i="13"/>
  <c r="N91" i="13"/>
  <c r="O91" i="13"/>
  <c r="N83" i="13"/>
  <c r="O83" i="13"/>
  <c r="N75" i="13"/>
  <c r="O75" i="13"/>
  <c r="N67" i="13"/>
  <c r="O67" i="13"/>
  <c r="N59" i="13"/>
  <c r="O59" i="13"/>
  <c r="N51" i="13"/>
  <c r="O51" i="13"/>
  <c r="N43" i="13"/>
  <c r="O43" i="13"/>
  <c r="N35" i="13"/>
  <c r="O35" i="13"/>
  <c r="N27" i="13"/>
  <c r="O27" i="13"/>
  <c r="N19" i="13"/>
  <c r="O19" i="13"/>
  <c r="N11" i="13"/>
  <c r="O11" i="13"/>
  <c r="N124" i="13"/>
  <c r="O124" i="13"/>
  <c r="N120" i="13"/>
  <c r="O120" i="13"/>
  <c r="N112" i="13"/>
  <c r="O112" i="13"/>
  <c r="N104" i="13"/>
  <c r="O104" i="13"/>
  <c r="N96" i="13"/>
  <c r="O96" i="13"/>
  <c r="N88" i="13"/>
  <c r="O88" i="13"/>
  <c r="N80" i="13"/>
  <c r="O80" i="13"/>
  <c r="N72" i="13"/>
  <c r="O72" i="13"/>
  <c r="N64" i="13"/>
  <c r="O64" i="13"/>
  <c r="N56" i="13"/>
  <c r="O56" i="13"/>
  <c r="N48" i="13"/>
  <c r="O48" i="13"/>
  <c r="N40" i="13"/>
  <c r="O40" i="13"/>
  <c r="N32" i="13"/>
  <c r="O32" i="13"/>
  <c r="N24" i="13"/>
  <c r="O24" i="13"/>
  <c r="N16" i="13"/>
  <c r="O16" i="13"/>
  <c r="N8" i="13"/>
  <c r="O8" i="13"/>
  <c r="N121" i="13"/>
  <c r="O121" i="13"/>
  <c r="N113" i="13"/>
  <c r="O113" i="13"/>
  <c r="N105" i="13"/>
  <c r="O105" i="13"/>
  <c r="N97" i="13"/>
  <c r="O97" i="13"/>
  <c r="N89" i="13"/>
  <c r="O89" i="13"/>
  <c r="N81" i="13"/>
  <c r="O81" i="13"/>
  <c r="N73" i="13"/>
  <c r="O73" i="13"/>
  <c r="N65" i="13"/>
  <c r="O65" i="13"/>
  <c r="N57" i="13"/>
  <c r="O57" i="13"/>
  <c r="N49" i="13"/>
  <c r="O49" i="13"/>
  <c r="N41" i="13"/>
  <c r="O41" i="13"/>
  <c r="N33" i="13"/>
  <c r="O33" i="13"/>
  <c r="N25" i="13"/>
  <c r="O25" i="13"/>
  <c r="N17" i="13"/>
  <c r="O17" i="13"/>
  <c r="N9" i="13"/>
  <c r="O9" i="13"/>
  <c r="N102" i="13"/>
  <c r="O102" i="13"/>
  <c r="N94" i="13"/>
  <c r="O94" i="13"/>
  <c r="N86" i="13"/>
  <c r="O86" i="13"/>
  <c r="N78" i="13"/>
  <c r="O78" i="13"/>
  <c r="N70" i="13"/>
  <c r="O70" i="13"/>
  <c r="N62" i="13"/>
  <c r="O62" i="13"/>
  <c r="N54" i="13"/>
  <c r="O54" i="13"/>
  <c r="N46" i="13"/>
  <c r="O46" i="13"/>
  <c r="N38" i="13"/>
  <c r="O38" i="13"/>
  <c r="N30" i="13"/>
  <c r="O30" i="13"/>
  <c r="N22" i="13"/>
  <c r="O22" i="13"/>
  <c r="N14" i="13"/>
  <c r="O14" i="13"/>
  <c r="N6" i="13"/>
  <c r="O6" i="13"/>
  <c r="N119" i="13"/>
  <c r="O119" i="13"/>
  <c r="N111" i="13"/>
  <c r="O111" i="13"/>
  <c r="N103" i="13"/>
  <c r="O103" i="13"/>
  <c r="N95" i="13"/>
  <c r="O95" i="13"/>
  <c r="N87" i="13"/>
  <c r="O87" i="13"/>
  <c r="N79" i="13"/>
  <c r="O79" i="13"/>
  <c r="N71" i="13"/>
  <c r="O71" i="13"/>
  <c r="N63" i="13"/>
  <c r="O63" i="13"/>
  <c r="N55" i="13"/>
  <c r="O55" i="13"/>
  <c r="N47" i="13"/>
  <c r="O47" i="13"/>
  <c r="N39" i="13"/>
  <c r="O39" i="13"/>
  <c r="N31" i="13"/>
  <c r="O31" i="13"/>
  <c r="N23" i="13"/>
  <c r="O23" i="13"/>
  <c r="N15" i="13"/>
  <c r="O15" i="13"/>
  <c r="N7" i="13"/>
  <c r="O7" i="13"/>
  <c r="N110" i="13"/>
  <c r="O110" i="13"/>
  <c r="N3" i="13"/>
  <c r="O3" i="13"/>
  <c r="N116" i="13"/>
  <c r="O116" i="13"/>
  <c r="N108" i="13"/>
  <c r="O108" i="13"/>
  <c r="N100" i="13"/>
  <c r="O100" i="13"/>
  <c r="N92" i="13"/>
  <c r="O92" i="13"/>
  <c r="N84" i="13"/>
  <c r="O84" i="13"/>
  <c r="N76" i="13"/>
  <c r="O76" i="13"/>
  <c r="N68" i="13"/>
  <c r="O68" i="13"/>
  <c r="N60" i="13"/>
  <c r="O60" i="13"/>
  <c r="N52" i="13"/>
  <c r="O52" i="13"/>
  <c r="N44" i="13"/>
  <c r="O44" i="13"/>
  <c r="N36" i="13"/>
  <c r="O36" i="13"/>
  <c r="N28" i="13"/>
  <c r="O28" i="13"/>
  <c r="N20" i="13"/>
  <c r="O20" i="13"/>
  <c r="N12" i="13"/>
  <c r="O12" i="13"/>
  <c r="N4" i="13"/>
  <c r="O4" i="13"/>
  <c r="N117" i="13"/>
  <c r="O117" i="13"/>
  <c r="N109" i="13"/>
  <c r="O109" i="13"/>
  <c r="N101" i="13"/>
  <c r="O101" i="13"/>
  <c r="N93" i="13"/>
  <c r="O93" i="13"/>
  <c r="N85" i="13"/>
  <c r="O85" i="13"/>
  <c r="N77" i="13"/>
  <c r="O77" i="13"/>
  <c r="N69" i="13"/>
  <c r="O69" i="13"/>
  <c r="N61" i="13"/>
  <c r="O61" i="13"/>
  <c r="N53" i="13"/>
  <c r="O53" i="13"/>
  <c r="N45" i="13"/>
  <c r="O45" i="13"/>
  <c r="N37" i="13"/>
  <c r="O37" i="13"/>
  <c r="N29" i="13"/>
  <c r="O29" i="13"/>
  <c r="N21" i="13"/>
  <c r="O21" i="13"/>
  <c r="N13" i="13"/>
  <c r="O13" i="13"/>
  <c r="N5" i="13"/>
  <c r="O5" i="13"/>
  <c r="O41" i="14"/>
  <c r="K41" i="14"/>
  <c r="N41" i="14"/>
  <c r="J41" i="14"/>
  <c r="N43" i="14"/>
  <c r="J43" i="14"/>
  <c r="O43" i="14"/>
  <c r="K43" i="14"/>
  <c r="O48" i="14"/>
  <c r="K48" i="14"/>
  <c r="N48" i="14"/>
  <c r="J48" i="14"/>
  <c r="N50" i="14"/>
  <c r="J50" i="14"/>
  <c r="O50" i="14"/>
  <c r="K50" i="14"/>
  <c r="O49" i="14"/>
  <c r="K49" i="14"/>
  <c r="N49" i="14"/>
  <c r="J49" i="14"/>
  <c r="O44" i="14"/>
  <c r="K44" i="14"/>
  <c r="N44" i="14"/>
  <c r="J44" i="14"/>
  <c r="N46" i="14"/>
  <c r="J46" i="14"/>
  <c r="O46" i="14"/>
  <c r="K46" i="14"/>
  <c r="O45" i="14"/>
  <c r="K45" i="14"/>
  <c r="N45" i="14"/>
  <c r="J45" i="14"/>
  <c r="N47" i="14"/>
  <c r="J47" i="14"/>
  <c r="O47" i="14"/>
  <c r="K47" i="14"/>
  <c r="N42" i="14"/>
  <c r="J42" i="14"/>
  <c r="O42" i="14"/>
  <c r="K42" i="14"/>
  <c r="K124" i="13"/>
  <c r="J124" i="13"/>
  <c r="O40" i="14"/>
  <c r="J40" i="14"/>
  <c r="K40" i="14"/>
  <c r="N40" i="14"/>
  <c r="J3" i="13"/>
  <c r="J120" i="13"/>
  <c r="J116" i="13"/>
  <c r="J112" i="13"/>
  <c r="J108" i="13"/>
  <c r="J104" i="13"/>
  <c r="J100" i="13"/>
  <c r="J96" i="13"/>
  <c r="J92" i="13"/>
  <c r="J88" i="13"/>
  <c r="J84" i="13"/>
  <c r="J80" i="13"/>
  <c r="J76" i="13"/>
  <c r="J72" i="13"/>
  <c r="J68" i="13"/>
  <c r="J64" i="13"/>
  <c r="J60" i="13"/>
  <c r="J56" i="13"/>
  <c r="J52" i="13"/>
  <c r="J48" i="13"/>
  <c r="J44" i="13"/>
  <c r="J40" i="13"/>
  <c r="J36" i="13"/>
  <c r="J32" i="13"/>
  <c r="J28" i="13"/>
  <c r="J24" i="13"/>
  <c r="J20" i="13"/>
  <c r="J16" i="13"/>
  <c r="J12" i="13"/>
  <c r="J8" i="13"/>
  <c r="J4" i="13"/>
  <c r="J121" i="13"/>
  <c r="J117" i="13"/>
  <c r="J113" i="13"/>
  <c r="J109" i="13"/>
  <c r="J105" i="13"/>
  <c r="J101" i="13"/>
  <c r="J97" i="13"/>
  <c r="J93" i="13"/>
  <c r="J89" i="13"/>
  <c r="J85" i="13"/>
  <c r="J81" i="13"/>
  <c r="J77" i="13"/>
  <c r="J73" i="13"/>
  <c r="J69" i="13"/>
  <c r="J65" i="13"/>
  <c r="J61" i="13"/>
  <c r="J57" i="13"/>
  <c r="J53" i="13"/>
  <c r="J49" i="13"/>
  <c r="J45" i="13"/>
  <c r="J41" i="13"/>
  <c r="J37" i="13"/>
  <c r="J33" i="13"/>
  <c r="J29" i="13"/>
  <c r="J25" i="13"/>
  <c r="J21" i="13"/>
  <c r="J17" i="13"/>
  <c r="J13" i="13"/>
  <c r="J9" i="13"/>
  <c r="J5" i="13"/>
  <c r="J122" i="13"/>
  <c r="J118" i="13"/>
  <c r="J114" i="13"/>
  <c r="J110" i="13"/>
  <c r="J106" i="13"/>
  <c r="J102" i="13"/>
  <c r="J98" i="13"/>
  <c r="J94" i="13"/>
  <c r="J90" i="13"/>
  <c r="J86" i="13"/>
  <c r="J82" i="13"/>
  <c r="J78" i="13"/>
  <c r="J74" i="13"/>
  <c r="J70" i="13"/>
  <c r="J66" i="13"/>
  <c r="J62" i="13"/>
  <c r="J58" i="13"/>
  <c r="J54" i="13"/>
  <c r="J50" i="13"/>
  <c r="J46" i="13"/>
  <c r="J42" i="13"/>
  <c r="J38" i="13"/>
  <c r="J34" i="13"/>
  <c r="J30" i="13"/>
  <c r="J26" i="13"/>
  <c r="J22" i="13"/>
  <c r="J18" i="13"/>
  <c r="J14" i="13"/>
  <c r="J10" i="13"/>
  <c r="J6" i="13"/>
  <c r="J123" i="13"/>
  <c r="J119" i="13"/>
  <c r="J115" i="13"/>
  <c r="J111" i="13"/>
  <c r="J107" i="13"/>
  <c r="J103" i="13"/>
  <c r="J99" i="13"/>
  <c r="J95" i="13"/>
  <c r="J91" i="13"/>
  <c r="J87" i="13"/>
  <c r="J83" i="13"/>
  <c r="J79" i="13"/>
  <c r="J75" i="13"/>
  <c r="J71" i="13"/>
  <c r="J67" i="13"/>
  <c r="J63" i="13"/>
  <c r="J59" i="13"/>
  <c r="J55" i="13"/>
  <c r="J51" i="13"/>
  <c r="J47" i="13"/>
  <c r="J43" i="13"/>
  <c r="J39" i="13"/>
  <c r="J35" i="13"/>
  <c r="J31" i="13"/>
  <c r="J27" i="13"/>
  <c r="J23" i="13"/>
  <c r="J19" i="13"/>
  <c r="J15" i="13"/>
  <c r="J11" i="13"/>
  <c r="J7" i="13"/>
  <c r="N6" i="11" a="1"/>
  <c r="N6" i="11" s="1"/>
  <c r="N7" i="11" a="1"/>
  <c r="N7" i="11" s="1"/>
  <c r="N8" i="11" a="1"/>
  <c r="N8" i="11" s="1"/>
  <c r="N9" i="11" a="1"/>
  <c r="N9" i="11" s="1"/>
  <c r="N10" i="11" a="1"/>
  <c r="N10" i="11" s="1"/>
  <c r="N11" i="11" a="1"/>
  <c r="N11" i="11" s="1"/>
  <c r="N12" i="11" a="1"/>
  <c r="N12" i="11" s="1"/>
  <c r="N13" i="11" a="1"/>
  <c r="N13" i="11" s="1"/>
  <c r="N14" i="11" a="1"/>
  <c r="N14" i="11" s="1"/>
  <c r="N15" i="11" a="1"/>
  <c r="N15" i="11" s="1"/>
  <c r="N16" i="11" a="1"/>
  <c r="N16" i="11" s="1"/>
  <c r="N17" i="11" a="1"/>
  <c r="N17" i="11" s="1"/>
  <c r="N18" i="11" a="1"/>
  <c r="N18" i="11" s="1"/>
  <c r="N19" i="11" a="1"/>
  <c r="N19" i="11" s="1"/>
  <c r="N20" i="11" a="1"/>
  <c r="N20" i="11" s="1"/>
  <c r="N21" i="11" a="1"/>
  <c r="N21" i="11" s="1"/>
  <c r="N22" i="11" a="1"/>
  <c r="N22" i="11" s="1"/>
  <c r="N23" i="11" a="1"/>
  <c r="N23" i="11" s="1"/>
  <c r="N24" i="11" a="1"/>
  <c r="N24" i="11" s="1"/>
  <c r="N25" i="11" a="1"/>
  <c r="N25" i="11" s="1"/>
  <c r="N26" i="11" a="1"/>
  <c r="N26" i="11" s="1"/>
  <c r="N27" i="11" a="1"/>
  <c r="N27" i="11" s="1"/>
  <c r="N28" i="11" a="1"/>
  <c r="N28" i="11" s="1"/>
  <c r="N29" i="11" a="1"/>
  <c r="N29" i="11" s="1"/>
  <c r="N30" i="11" a="1"/>
  <c r="N30" i="11" s="1"/>
  <c r="N31" i="11" a="1"/>
  <c r="N31" i="11" s="1"/>
  <c r="N32" i="11" a="1"/>
  <c r="N32" i="11" s="1"/>
  <c r="N33" i="11" a="1"/>
  <c r="N33" i="11" s="1"/>
  <c r="N34" i="11" a="1"/>
  <c r="N34" i="11" s="1"/>
  <c r="N35" i="11" a="1"/>
  <c r="N35" i="11" s="1"/>
  <c r="N36" i="11" a="1"/>
  <c r="N36" i="11" s="1"/>
  <c r="N37" i="11" a="1"/>
  <c r="N37" i="11" s="1"/>
  <c r="N38" i="11" a="1"/>
  <c r="N38" i="11" s="1"/>
  <c r="N39" i="11" a="1"/>
  <c r="N39" i="11" s="1"/>
  <c r="N40" i="11" a="1"/>
  <c r="N40" i="11" s="1"/>
  <c r="N41" i="11" a="1"/>
  <c r="N41" i="11" s="1"/>
  <c r="L6" i="11" a="1"/>
  <c r="L6" i="11" s="1"/>
  <c r="L7" i="11" a="1"/>
  <c r="L7" i="11" s="1"/>
  <c r="L8" i="11" a="1"/>
  <c r="L8" i="11" s="1"/>
  <c r="L9" i="11" a="1"/>
  <c r="L9" i="11" s="1"/>
  <c r="L10" i="11" a="1"/>
  <c r="L10" i="11" s="1"/>
  <c r="L11" i="11" a="1"/>
  <c r="L11" i="11" s="1"/>
  <c r="L12" i="11" a="1"/>
  <c r="L12" i="11" s="1"/>
  <c r="L13" i="11" a="1"/>
  <c r="L13" i="11" s="1"/>
  <c r="L14" i="11" a="1"/>
  <c r="L14" i="11" s="1"/>
  <c r="L15" i="11" a="1"/>
  <c r="L15" i="11" s="1"/>
  <c r="L16" i="11" a="1"/>
  <c r="L16" i="11" s="1"/>
  <c r="L17" i="11" a="1"/>
  <c r="L17" i="11" s="1"/>
  <c r="L18" i="11" a="1"/>
  <c r="L18" i="11" s="1"/>
  <c r="L19" i="11" a="1"/>
  <c r="L19" i="11" s="1"/>
  <c r="L20" i="11" a="1"/>
  <c r="L20" i="11" s="1"/>
  <c r="L21" i="11" a="1"/>
  <c r="L21" i="11" s="1"/>
  <c r="L22" i="11" a="1"/>
  <c r="L22" i="11" s="1"/>
  <c r="L23" i="11" a="1"/>
  <c r="L23" i="11" s="1"/>
  <c r="L24" i="11" a="1"/>
  <c r="L24" i="11" s="1"/>
  <c r="L25" i="11" a="1"/>
  <c r="L25" i="11" s="1"/>
  <c r="L26" i="11" a="1"/>
  <c r="L26" i="11" s="1"/>
  <c r="L27" i="11" a="1"/>
  <c r="L27" i="11" s="1"/>
  <c r="L28" i="11" a="1"/>
  <c r="L28" i="11" s="1"/>
  <c r="L29" i="11" a="1"/>
  <c r="L29" i="11" s="1"/>
  <c r="L30" i="11" a="1"/>
  <c r="L30" i="11" s="1"/>
  <c r="L31" i="11" a="1"/>
  <c r="L31" i="11" s="1"/>
  <c r="L32" i="11" a="1"/>
  <c r="L32" i="11" s="1"/>
  <c r="L33" i="11" a="1"/>
  <c r="L33" i="11" s="1"/>
  <c r="L34" i="11" a="1"/>
  <c r="L34" i="11" s="1"/>
  <c r="L35" i="11" a="1"/>
  <c r="L35" i="11" s="1"/>
  <c r="L36" i="11" a="1"/>
  <c r="L36" i="11" s="1"/>
  <c r="L37" i="11" a="1"/>
  <c r="L37" i="11" s="1"/>
  <c r="L38" i="11" a="1"/>
  <c r="L38" i="11" s="1"/>
  <c r="L39" i="11" a="1"/>
  <c r="L39" i="11" s="1"/>
  <c r="L40" i="11" a="1"/>
  <c r="L40" i="11" s="1"/>
  <c r="L41" i="11" a="1"/>
  <c r="L41" i="11" s="1"/>
  <c r="K6" i="11" a="1"/>
  <c r="K6" i="11" s="1"/>
  <c r="K7" i="11" a="1"/>
  <c r="K7" i="11" s="1"/>
  <c r="K8" i="11" a="1"/>
  <c r="K8" i="11" s="1"/>
  <c r="K9" i="11" a="1"/>
  <c r="K9" i="11" s="1"/>
  <c r="K10" i="11" a="1"/>
  <c r="K10" i="11" s="1"/>
  <c r="K11" i="11" a="1"/>
  <c r="K11" i="11" s="1"/>
  <c r="K12" i="11" a="1"/>
  <c r="K12" i="11" s="1"/>
  <c r="K13" i="11" a="1"/>
  <c r="K13" i="11" s="1"/>
  <c r="K14" i="11" a="1"/>
  <c r="K14" i="11" s="1"/>
  <c r="K15" i="11" a="1"/>
  <c r="K15" i="11" s="1"/>
  <c r="K16" i="11" a="1"/>
  <c r="K16" i="11" s="1"/>
  <c r="K17" i="11" a="1"/>
  <c r="K17" i="11" s="1"/>
  <c r="K18" i="11" a="1"/>
  <c r="K18" i="11" s="1"/>
  <c r="K19" i="11" a="1"/>
  <c r="K19" i="11" s="1"/>
  <c r="K20" i="11" a="1"/>
  <c r="K20" i="11" s="1"/>
  <c r="K21" i="11" a="1"/>
  <c r="K21" i="11" s="1"/>
  <c r="K22" i="11" a="1"/>
  <c r="K22" i="11" s="1"/>
  <c r="K23" i="11" a="1"/>
  <c r="K23" i="11" s="1"/>
  <c r="K24" i="11" a="1"/>
  <c r="K24" i="11" s="1"/>
  <c r="K25" i="11" a="1"/>
  <c r="K25" i="11" s="1"/>
  <c r="K26" i="11" a="1"/>
  <c r="K26" i="11" s="1"/>
  <c r="K27" i="11" a="1"/>
  <c r="K27" i="11" s="1"/>
  <c r="K28" i="11" a="1"/>
  <c r="K28" i="11" s="1"/>
  <c r="K29" i="11" a="1"/>
  <c r="K29" i="11" s="1"/>
  <c r="K30" i="11" a="1"/>
  <c r="K30" i="11" s="1"/>
  <c r="K31" i="11" a="1"/>
  <c r="K31" i="11" s="1"/>
  <c r="K32" i="11" a="1"/>
  <c r="K32" i="11" s="1"/>
  <c r="K33" i="11" a="1"/>
  <c r="K33" i="11" s="1"/>
  <c r="K34" i="11" a="1"/>
  <c r="K34" i="11" s="1"/>
  <c r="K35" i="11" a="1"/>
  <c r="K35" i="11" s="1"/>
  <c r="K36" i="11" a="1"/>
  <c r="K36" i="11" s="1"/>
  <c r="K37" i="11" a="1"/>
  <c r="K37" i="11" s="1"/>
  <c r="K38" i="11" a="1"/>
  <c r="K38" i="11" s="1"/>
  <c r="K39" i="11" a="1"/>
  <c r="K39" i="11" s="1"/>
  <c r="K40" i="11" a="1"/>
  <c r="K40" i="11" s="1"/>
  <c r="K41" i="11" a="1"/>
  <c r="K41" i="11" s="1"/>
  <c r="E6" i="11" a="1"/>
  <c r="E6" i="11" s="1"/>
  <c r="E7" i="11" a="1"/>
  <c r="E7" i="11" s="1"/>
  <c r="E8" i="11" a="1"/>
  <c r="E8" i="11" s="1"/>
  <c r="E9" i="11" a="1"/>
  <c r="E9" i="11" s="1"/>
  <c r="E10" i="11" a="1"/>
  <c r="E10" i="11" s="1"/>
  <c r="E11" i="11" a="1"/>
  <c r="E11" i="11" s="1"/>
  <c r="E12" i="11" a="1"/>
  <c r="E12" i="11" s="1"/>
  <c r="E13" i="11" a="1"/>
  <c r="E13" i="11" s="1"/>
  <c r="E14" i="11" a="1"/>
  <c r="E14" i="11" s="1"/>
  <c r="E15" i="11" a="1"/>
  <c r="E15" i="11" s="1"/>
  <c r="E16" i="11" a="1"/>
  <c r="E16" i="11" s="1"/>
  <c r="E17" i="11" a="1"/>
  <c r="E17" i="11" s="1"/>
  <c r="E18" i="11" a="1"/>
  <c r="E18" i="11" s="1"/>
  <c r="E19" i="11" a="1"/>
  <c r="E19" i="11" s="1"/>
  <c r="E20" i="11" a="1"/>
  <c r="E20" i="11" s="1"/>
  <c r="E21" i="11" a="1"/>
  <c r="E21" i="11" s="1"/>
  <c r="E22" i="11" a="1"/>
  <c r="E22" i="11" s="1"/>
  <c r="E23" i="11" a="1"/>
  <c r="E23" i="11" s="1"/>
  <c r="E24" i="11" a="1"/>
  <c r="E24" i="11" s="1"/>
  <c r="E25" i="11" a="1"/>
  <c r="E25" i="11" s="1"/>
  <c r="E26" i="11" a="1"/>
  <c r="E26" i="11" s="1"/>
  <c r="E27" i="11" a="1"/>
  <c r="E27" i="11" s="1"/>
  <c r="E28" i="11" a="1"/>
  <c r="E28" i="11" s="1"/>
  <c r="E29" i="11" a="1"/>
  <c r="E29" i="11" s="1"/>
  <c r="E30" i="11" a="1"/>
  <c r="E30" i="11" s="1"/>
  <c r="E31" i="11" a="1"/>
  <c r="E31" i="11" s="1"/>
  <c r="E32" i="11" a="1"/>
  <c r="E32" i="11" s="1"/>
  <c r="E33" i="11" a="1"/>
  <c r="E33" i="11" s="1"/>
  <c r="E34" i="11" a="1"/>
  <c r="E34" i="11" s="1"/>
  <c r="E35" i="11" a="1"/>
  <c r="E35" i="11" s="1"/>
  <c r="E36" i="11" a="1"/>
  <c r="E36" i="11" s="1"/>
  <c r="E37" i="11" a="1"/>
  <c r="E37" i="11" s="1"/>
  <c r="E38" i="11" a="1"/>
  <c r="E38" i="11" s="1"/>
  <c r="E39" i="11" a="1"/>
  <c r="E39" i="11" s="1"/>
  <c r="E40" i="11" a="1"/>
  <c r="E40" i="11" s="1"/>
  <c r="E41" i="11" a="1"/>
  <c r="E41" i="11" s="1"/>
  <c r="B6" i="11" a="1"/>
  <c r="B6" i="11" s="1"/>
  <c r="B7" i="11" a="1"/>
  <c r="B7" i="11" s="1"/>
  <c r="B8" i="11" a="1"/>
  <c r="B8" i="11" s="1"/>
  <c r="B9" i="11" a="1"/>
  <c r="B9" i="11" s="1"/>
  <c r="B10" i="11" a="1"/>
  <c r="B10" i="11" s="1"/>
  <c r="B11" i="11" a="1"/>
  <c r="B11" i="11" s="1"/>
  <c r="B12" i="11" a="1"/>
  <c r="B12" i="11" s="1"/>
  <c r="B13" i="11" a="1"/>
  <c r="B13" i="11" s="1"/>
  <c r="B14" i="11" a="1"/>
  <c r="B14" i="11" s="1"/>
  <c r="B15" i="11" a="1"/>
  <c r="B15" i="11" s="1"/>
  <c r="B16" i="11" a="1"/>
  <c r="B16" i="11" s="1"/>
  <c r="B17" i="11" a="1"/>
  <c r="B17" i="11" s="1"/>
  <c r="B18" i="11" a="1"/>
  <c r="B18" i="11" s="1"/>
  <c r="B19" i="11" a="1"/>
  <c r="B19" i="11" s="1"/>
  <c r="B20" i="11" a="1"/>
  <c r="B20" i="11" s="1"/>
  <c r="B21" i="11" a="1"/>
  <c r="B21" i="11" s="1"/>
  <c r="B22" i="11" a="1"/>
  <c r="B22" i="11" s="1"/>
  <c r="B23" i="11" a="1"/>
  <c r="B23" i="11" s="1"/>
  <c r="B24" i="11" a="1"/>
  <c r="B24" i="11" s="1"/>
  <c r="B25" i="11" a="1"/>
  <c r="B25" i="11" s="1"/>
  <c r="B26" i="11" a="1"/>
  <c r="B26" i="11" s="1"/>
  <c r="B27" i="11" a="1"/>
  <c r="B27" i="11" s="1"/>
  <c r="B28" i="11" a="1"/>
  <c r="B28" i="11" s="1"/>
  <c r="B29" i="11" a="1"/>
  <c r="B29" i="11" s="1"/>
  <c r="B30" i="11" a="1"/>
  <c r="B30" i="11" s="1"/>
  <c r="B31" i="11" a="1"/>
  <c r="B31" i="11" s="1"/>
  <c r="B32" i="11" a="1"/>
  <c r="B32" i="11" s="1"/>
  <c r="B33" i="11" a="1"/>
  <c r="B33" i="11" s="1"/>
  <c r="B34" i="11" a="1"/>
  <c r="B34" i="11" s="1"/>
  <c r="B35" i="11" a="1"/>
  <c r="B35" i="11" s="1"/>
  <c r="B36" i="11" a="1"/>
  <c r="B36" i="11" s="1"/>
  <c r="B37" i="11" a="1"/>
  <c r="B37" i="11" s="1"/>
  <c r="B38" i="11" a="1"/>
  <c r="B38" i="11" s="1"/>
  <c r="B39" i="11" a="1"/>
  <c r="B39" i="11" s="1"/>
  <c r="B40" i="11" a="1"/>
  <c r="B40" i="11" s="1"/>
  <c r="B41" i="11" a="1"/>
  <c r="B41" i="11" s="1"/>
  <c r="N5" i="11" a="1"/>
  <c r="N5" i="11" s="1"/>
  <c r="L5" i="11" a="1"/>
  <c r="L5" i="11" s="1"/>
  <c r="K5" i="11" a="1"/>
  <c r="K5" i="11" s="1"/>
  <c r="E5" i="11" a="1"/>
  <c r="E5" i="11" s="1"/>
  <c r="B5" i="11" a="1"/>
  <c r="B5" i="11" s="1"/>
  <c r="L3" i="11" l="1"/>
  <c r="N2" i="11"/>
  <c r="K2" i="11"/>
  <c r="E2" i="11"/>
  <c r="B2" i="11"/>
  <c r="Q28" i="14" l="1"/>
  <c r="T4" i="11"/>
  <c r="Q3" i="14" s="1"/>
  <c r="T3" i="11"/>
  <c r="O2" i="11" l="1"/>
  <c r="Z1" i="11" l="1"/>
  <c r="H38" i="14" l="1"/>
  <c r="H39" i="14"/>
  <c r="H36" i="14"/>
  <c r="H37" i="14"/>
  <c r="H35" i="14"/>
  <c r="H5" i="14"/>
  <c r="H34" i="14"/>
  <c r="H32" i="14"/>
  <c r="H30" i="14"/>
  <c r="H28" i="14"/>
  <c r="H26" i="14"/>
  <c r="H24" i="14"/>
  <c r="H22" i="14"/>
  <c r="H20" i="14"/>
  <c r="H18" i="14"/>
  <c r="H16" i="14"/>
  <c r="H14" i="14"/>
  <c r="H12" i="14"/>
  <c r="H10" i="14"/>
  <c r="H8" i="14"/>
  <c r="H6" i="14"/>
  <c r="H4" i="14"/>
  <c r="H3" i="14"/>
  <c r="H33" i="14"/>
  <c r="H31" i="14"/>
  <c r="H29" i="14"/>
  <c r="H27" i="14"/>
  <c r="H25" i="14"/>
  <c r="H23" i="14"/>
  <c r="H21" i="14"/>
  <c r="H19" i="14"/>
  <c r="H17" i="14"/>
  <c r="H15" i="14"/>
  <c r="H13" i="14"/>
  <c r="H11" i="14"/>
  <c r="H9" i="14"/>
  <c r="H7" i="14"/>
  <c r="K34" i="13"/>
  <c r="K56" i="13"/>
  <c r="J9" i="14" l="1"/>
  <c r="N9" i="14"/>
  <c r="J13" i="14"/>
  <c r="N13" i="14"/>
  <c r="J17" i="14"/>
  <c r="N17" i="14"/>
  <c r="J21" i="14"/>
  <c r="N21" i="14"/>
  <c r="J25" i="14"/>
  <c r="N25" i="14"/>
  <c r="J29" i="14"/>
  <c r="N29" i="14"/>
  <c r="J33" i="14"/>
  <c r="N33" i="14"/>
  <c r="N4" i="14"/>
  <c r="J4" i="14"/>
  <c r="N8" i="14"/>
  <c r="J8" i="14"/>
  <c r="N12" i="14"/>
  <c r="J12" i="14"/>
  <c r="N16" i="14"/>
  <c r="J16" i="14"/>
  <c r="N20" i="14"/>
  <c r="J20" i="14"/>
  <c r="N24" i="14"/>
  <c r="J24" i="14"/>
  <c r="N28" i="14"/>
  <c r="J28" i="14"/>
  <c r="N32" i="14"/>
  <c r="J32" i="14"/>
  <c r="J35" i="14"/>
  <c r="N35" i="14"/>
  <c r="N36" i="14"/>
  <c r="J36" i="14"/>
  <c r="N38" i="14"/>
  <c r="J38" i="14"/>
  <c r="J7" i="14"/>
  <c r="N7" i="14"/>
  <c r="J11" i="14"/>
  <c r="N11" i="14"/>
  <c r="J15" i="14"/>
  <c r="N15" i="14"/>
  <c r="J19" i="14"/>
  <c r="N19" i="14"/>
  <c r="J23" i="14"/>
  <c r="N23" i="14"/>
  <c r="J27" i="14"/>
  <c r="N27" i="14"/>
  <c r="J31" i="14"/>
  <c r="N31" i="14"/>
  <c r="J3" i="14"/>
  <c r="N3" i="14"/>
  <c r="N6" i="14"/>
  <c r="J6" i="14"/>
  <c r="N10" i="14"/>
  <c r="J10" i="14"/>
  <c r="N14" i="14"/>
  <c r="J14" i="14"/>
  <c r="N18" i="14"/>
  <c r="J18" i="14"/>
  <c r="N22" i="14"/>
  <c r="J22" i="14"/>
  <c r="N26" i="14"/>
  <c r="J26" i="14"/>
  <c r="N30" i="14"/>
  <c r="J30" i="14"/>
  <c r="N34" i="14"/>
  <c r="J34" i="14"/>
  <c r="J5" i="14"/>
  <c r="N5" i="14"/>
  <c r="J37" i="14"/>
  <c r="N37" i="14"/>
  <c r="J39" i="14"/>
  <c r="N39" i="14"/>
  <c r="O19" i="14"/>
  <c r="O27" i="14"/>
  <c r="O3" i="14"/>
  <c r="O6" i="14"/>
  <c r="O14" i="14"/>
  <c r="O22" i="14"/>
  <c r="O30" i="14"/>
  <c r="O5" i="14"/>
  <c r="O36" i="14"/>
  <c r="O25" i="14"/>
  <c r="O4" i="14"/>
  <c r="O20" i="14"/>
  <c r="O37" i="14"/>
  <c r="O11" i="14"/>
  <c r="O13" i="14"/>
  <c r="O21" i="14"/>
  <c r="O29" i="14"/>
  <c r="O8" i="14"/>
  <c r="O16" i="14"/>
  <c r="O24" i="14"/>
  <c r="O32" i="14"/>
  <c r="O39" i="14"/>
  <c r="O9" i="14"/>
  <c r="O17" i="14"/>
  <c r="O33" i="14"/>
  <c r="O12" i="14"/>
  <c r="O28" i="14"/>
  <c r="O7" i="14"/>
  <c r="O15" i="14"/>
  <c r="O23" i="14"/>
  <c r="O31" i="14"/>
  <c r="O10" i="14"/>
  <c r="O18" i="14"/>
  <c r="O26" i="14"/>
  <c r="O34" i="14"/>
  <c r="O35" i="14"/>
  <c r="O38" i="14"/>
  <c r="K51" i="13"/>
  <c r="K67" i="13"/>
  <c r="K75" i="13"/>
  <c r="K31" i="13"/>
  <c r="K47" i="13"/>
  <c r="K55" i="13"/>
  <c r="K63" i="13"/>
  <c r="K9" i="13"/>
  <c r="K25" i="13"/>
  <c r="K41" i="13"/>
  <c r="K65" i="13"/>
  <c r="K98" i="13"/>
  <c r="K97" i="13"/>
  <c r="K112" i="13"/>
  <c r="K96" i="13"/>
  <c r="K114" i="13"/>
  <c r="K121" i="13"/>
  <c r="K93" i="13"/>
  <c r="K111" i="13"/>
  <c r="K95" i="13"/>
  <c r="K37" i="14"/>
  <c r="K90" i="13"/>
  <c r="K89" i="13"/>
  <c r="K108" i="13"/>
  <c r="K92" i="13"/>
  <c r="K110" i="13"/>
  <c r="K113" i="13"/>
  <c r="K123" i="13"/>
  <c r="K107" i="13"/>
  <c r="K91" i="13"/>
  <c r="K36" i="14"/>
  <c r="K118" i="13"/>
  <c r="K117" i="13"/>
  <c r="K120" i="13"/>
  <c r="K104" i="13"/>
  <c r="K88" i="13"/>
  <c r="K102" i="13"/>
  <c r="K109" i="13"/>
  <c r="K119" i="13"/>
  <c r="K103" i="13"/>
  <c r="K87" i="13"/>
  <c r="K39" i="14"/>
  <c r="K106" i="13"/>
  <c r="K105" i="13"/>
  <c r="K116" i="13"/>
  <c r="K100" i="13"/>
  <c r="K122" i="13"/>
  <c r="K94" i="13"/>
  <c r="K101" i="13"/>
  <c r="K115" i="13"/>
  <c r="K99" i="13"/>
  <c r="K35" i="14"/>
  <c r="K38" i="14"/>
  <c r="K5" i="13"/>
  <c r="K32" i="13"/>
  <c r="K72" i="13"/>
  <c r="K16" i="13"/>
  <c r="K19" i="13"/>
  <c r="K40" i="13"/>
  <c r="K78" i="13"/>
  <c r="K43" i="13"/>
  <c r="K80" i="13"/>
  <c r="K48" i="13"/>
  <c r="K24" i="13"/>
  <c r="K73" i="13"/>
  <c r="K35" i="13"/>
  <c r="K64" i="13"/>
  <c r="K22" i="13"/>
  <c r="K86" i="13"/>
  <c r="K46" i="13"/>
  <c r="K59" i="13"/>
  <c r="K23" i="13"/>
  <c r="K11" i="13"/>
  <c r="K62" i="13"/>
  <c r="K14" i="13"/>
  <c r="K70" i="13"/>
  <c r="K54" i="13"/>
  <c r="K38" i="13"/>
  <c r="K30" i="13"/>
  <c r="K6" i="13"/>
  <c r="K81" i="13"/>
  <c r="K33" i="13"/>
  <c r="K15" i="13"/>
  <c r="K79" i="13"/>
  <c r="K76" i="13"/>
  <c r="K52" i="13"/>
  <c r="K36" i="13"/>
  <c r="K68" i="13"/>
  <c r="K57" i="13"/>
  <c r="K3" i="13"/>
  <c r="K4" i="13"/>
  <c r="K84" i="13"/>
  <c r="K60" i="13"/>
  <c r="K44" i="13"/>
  <c r="K49" i="13"/>
  <c r="K28" i="13"/>
  <c r="K20" i="13"/>
  <c r="K12" i="13"/>
  <c r="K83" i="13"/>
  <c r="K27" i="13"/>
  <c r="K17" i="13"/>
  <c r="K8" i="13"/>
  <c r="K61" i="13"/>
  <c r="K39" i="13"/>
  <c r="K7" i="13"/>
  <c r="K29" i="13"/>
  <c r="K82" i="13"/>
  <c r="K18" i="13"/>
  <c r="K71" i="13"/>
  <c r="K66" i="13"/>
  <c r="K77" i="13"/>
  <c r="K45" i="13"/>
  <c r="K13" i="13"/>
  <c r="K50" i="13"/>
  <c r="K85" i="13"/>
  <c r="K53" i="13"/>
  <c r="K21" i="13"/>
  <c r="K74" i="13"/>
  <c r="K58" i="13"/>
  <c r="K42" i="13"/>
  <c r="K26" i="13"/>
  <c r="K10" i="13"/>
  <c r="K69" i="13"/>
  <c r="K37" i="13"/>
  <c r="S24" i="11" l="1"/>
  <c r="L42" i="11"/>
  <c r="G42" i="11"/>
  <c r="C42" i="11" l="1"/>
  <c r="T24" i="11"/>
  <c r="A42" i="11"/>
  <c r="T2" i="1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70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37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4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70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37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P70" i="1"/>
  <c r="M70" i="1"/>
  <c r="F70" i="1"/>
  <c r="C70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P37" i="1"/>
  <c r="M37" i="1"/>
  <c r="F37" i="1"/>
  <c r="C37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4" i="1"/>
  <c r="G68" i="1"/>
  <c r="G35" i="1"/>
  <c r="G2" i="1"/>
  <c r="K32" i="14" l="1"/>
  <c r="K28" i="14"/>
  <c r="K24" i="14"/>
  <c r="K20" i="14"/>
  <c r="K16" i="14"/>
  <c r="K11" i="14"/>
  <c r="K7" i="14"/>
  <c r="K5" i="14"/>
  <c r="K33" i="14"/>
  <c r="K29" i="14"/>
  <c r="K25" i="14"/>
  <c r="K21" i="14"/>
  <c r="K17" i="14"/>
  <c r="K12" i="14"/>
  <c r="K8" i="14"/>
  <c r="K4" i="14"/>
  <c r="K34" i="14"/>
  <c r="K30" i="14"/>
  <c r="K26" i="14"/>
  <c r="K22" i="14"/>
  <c r="K18" i="14"/>
  <c r="K13" i="14"/>
  <c r="K9" i="14"/>
  <c r="K15" i="14"/>
  <c r="K31" i="14"/>
  <c r="K27" i="14"/>
  <c r="K23" i="14"/>
  <c r="K19" i="14"/>
  <c r="K10" i="14"/>
  <c r="K6" i="14"/>
  <c r="K3" i="14"/>
  <c r="K14" i="14"/>
</calcChain>
</file>

<file path=xl/sharedStrings.xml><?xml version="1.0" encoding="utf-8"?>
<sst xmlns="http://schemas.openxmlformats.org/spreadsheetml/2006/main" count="12219" uniqueCount="1623">
  <si>
    <t>زمان رسيدن</t>
  </si>
  <si>
    <t>زمان حركت</t>
  </si>
  <si>
    <t>R</t>
  </si>
  <si>
    <t>T</t>
  </si>
  <si>
    <t>H2</t>
  </si>
  <si>
    <t>H1</t>
  </si>
  <si>
    <t>نوع قطار</t>
  </si>
  <si>
    <t>مشخصه حركت</t>
  </si>
  <si>
    <t>رديف</t>
  </si>
  <si>
    <t>گلشهر</t>
  </si>
  <si>
    <t>از</t>
  </si>
  <si>
    <t>تا</t>
  </si>
  <si>
    <t>تهران - صادقيه</t>
  </si>
  <si>
    <t>05:00</t>
  </si>
  <si>
    <t>نوع اعزام</t>
  </si>
  <si>
    <t>کدپرسنلي</t>
  </si>
  <si>
    <t>نام  راهبر</t>
  </si>
  <si>
    <t>نام خانوادگي راهبر</t>
  </si>
  <si>
    <t>ايستگاه مقصد</t>
  </si>
  <si>
    <t>ايستگاه مبدا</t>
  </si>
  <si>
    <t>زمان حزکت</t>
  </si>
  <si>
    <t>تاريخ پردازش</t>
  </si>
  <si>
    <t>05:30</t>
  </si>
  <si>
    <t>05:40</t>
  </si>
  <si>
    <t>05:50</t>
  </si>
  <si>
    <t>06:00</t>
  </si>
  <si>
    <t>06:10</t>
  </si>
  <si>
    <t>06:20</t>
  </si>
  <si>
    <t>06:30</t>
  </si>
  <si>
    <t>06:50</t>
  </si>
  <si>
    <t>07:00</t>
  </si>
  <si>
    <t>07:05</t>
  </si>
  <si>
    <t>07:10</t>
  </si>
  <si>
    <t>07:30</t>
  </si>
  <si>
    <t>07:40</t>
  </si>
  <si>
    <t>07:50</t>
  </si>
  <si>
    <t>08:00</t>
  </si>
  <si>
    <t>08:10</t>
  </si>
  <si>
    <t>11:15</t>
  </si>
  <si>
    <t>13:00</t>
  </si>
  <si>
    <t>13:15</t>
  </si>
  <si>
    <t>13:25</t>
  </si>
  <si>
    <t>13:35</t>
  </si>
  <si>
    <t>13:45</t>
  </si>
  <si>
    <t>13:55</t>
  </si>
  <si>
    <t>14:00</t>
  </si>
  <si>
    <t>14:05</t>
  </si>
  <si>
    <t>14:15</t>
  </si>
  <si>
    <t>14:35</t>
  </si>
  <si>
    <t>14:45</t>
  </si>
  <si>
    <t>14:55</t>
  </si>
  <si>
    <t>15:15</t>
  </si>
  <si>
    <t>15:40</t>
  </si>
  <si>
    <t>15:55</t>
  </si>
  <si>
    <t>16:25</t>
  </si>
  <si>
    <t>16:45</t>
  </si>
  <si>
    <t>16:50</t>
  </si>
  <si>
    <t>20:15</t>
  </si>
  <si>
    <t>محمد</t>
  </si>
  <si>
    <t>حسين</t>
  </si>
  <si>
    <t>سعيد</t>
  </si>
  <si>
    <t>ميثم</t>
  </si>
  <si>
    <t>مهدي</t>
  </si>
  <si>
    <t>06:40</t>
  </si>
  <si>
    <t>اصغر</t>
  </si>
  <si>
    <t>محمود</t>
  </si>
  <si>
    <t>سلطانيان</t>
  </si>
  <si>
    <t>حميد</t>
  </si>
  <si>
    <t>07:20</t>
  </si>
  <si>
    <t>مرتضي</t>
  </si>
  <si>
    <t>حيدري ورنامخواستي</t>
  </si>
  <si>
    <t>مصطفي</t>
  </si>
  <si>
    <t>حسين زاده امير هنده</t>
  </si>
  <si>
    <t>علي</t>
  </si>
  <si>
    <t>توانا</t>
  </si>
  <si>
    <t>بهمن</t>
  </si>
  <si>
    <t>عبدي</t>
  </si>
  <si>
    <t>مظفري</t>
  </si>
  <si>
    <t>مهرداد</t>
  </si>
  <si>
    <t>مهري لاسكي</t>
  </si>
  <si>
    <t>08:20</t>
  </si>
  <si>
    <t>رامين</t>
  </si>
  <si>
    <t>08:30</t>
  </si>
  <si>
    <t>08:40</t>
  </si>
  <si>
    <t>08:50</t>
  </si>
  <si>
    <t>وحيد</t>
  </si>
  <si>
    <t>09:00</t>
  </si>
  <si>
    <t>09:10</t>
  </si>
  <si>
    <t>حسنلو</t>
  </si>
  <si>
    <t>09:20</t>
  </si>
  <si>
    <t>منصوري</t>
  </si>
  <si>
    <t>09:30</t>
  </si>
  <si>
    <t>محسن</t>
  </si>
  <si>
    <t>يزدان پناه</t>
  </si>
  <si>
    <t>10:00</t>
  </si>
  <si>
    <t>سياوش</t>
  </si>
  <si>
    <t>سالمي</t>
  </si>
  <si>
    <t>10:15</t>
  </si>
  <si>
    <t>محمد رضا</t>
  </si>
  <si>
    <t>شادمان</t>
  </si>
  <si>
    <t>10:30</t>
  </si>
  <si>
    <t>رضا</t>
  </si>
  <si>
    <t>10:45</t>
  </si>
  <si>
    <t>11:00</t>
  </si>
  <si>
    <t>شهاب</t>
  </si>
  <si>
    <t>ميرزائي</t>
  </si>
  <si>
    <t>11:30</t>
  </si>
  <si>
    <t>آراميده</t>
  </si>
  <si>
    <t>11:45</t>
  </si>
  <si>
    <t>12:00</t>
  </si>
  <si>
    <t>نريماني</t>
  </si>
  <si>
    <t>12:15</t>
  </si>
  <si>
    <t>12:30</t>
  </si>
  <si>
    <t>12:45</t>
  </si>
  <si>
    <t>13:30</t>
  </si>
  <si>
    <t>ميرعظيمي</t>
  </si>
  <si>
    <t>عليرضا</t>
  </si>
  <si>
    <t>بهزادي</t>
  </si>
  <si>
    <t>14:30</t>
  </si>
  <si>
    <t>محمدرضا</t>
  </si>
  <si>
    <t>صحراگرد</t>
  </si>
  <si>
    <t>14:40</t>
  </si>
  <si>
    <t>اميد</t>
  </si>
  <si>
    <t>14:50</t>
  </si>
  <si>
    <t>مولاموردي</t>
  </si>
  <si>
    <t>15:00</t>
  </si>
  <si>
    <t>15:10</t>
  </si>
  <si>
    <t>15:20</t>
  </si>
  <si>
    <t>حميدرضا</t>
  </si>
  <si>
    <t>سرلك</t>
  </si>
  <si>
    <t>15:30</t>
  </si>
  <si>
    <t>معارف وند</t>
  </si>
  <si>
    <t>15:50</t>
  </si>
  <si>
    <t>16:00</t>
  </si>
  <si>
    <t>فرهاد</t>
  </si>
  <si>
    <t>16:10</t>
  </si>
  <si>
    <t>16:20</t>
  </si>
  <si>
    <t>پيام</t>
  </si>
  <si>
    <t>حسابي</t>
  </si>
  <si>
    <t>16:30</t>
  </si>
  <si>
    <t>16:40</t>
  </si>
  <si>
    <t>پيرمحمدي</t>
  </si>
  <si>
    <t>17:00</t>
  </si>
  <si>
    <t>رحمتي نژاد</t>
  </si>
  <si>
    <t>17:10</t>
  </si>
  <si>
    <t>مرندي شيره جيني</t>
  </si>
  <si>
    <t>17:20</t>
  </si>
  <si>
    <t>داود</t>
  </si>
  <si>
    <t>سياوشي</t>
  </si>
  <si>
    <t>17:30</t>
  </si>
  <si>
    <t>17:40</t>
  </si>
  <si>
    <t>17:50</t>
  </si>
  <si>
    <t>18:00</t>
  </si>
  <si>
    <t>18:10</t>
  </si>
  <si>
    <t>18:20</t>
  </si>
  <si>
    <t>عظيمي</t>
  </si>
  <si>
    <t>18:30</t>
  </si>
  <si>
    <t>18:40</t>
  </si>
  <si>
    <t>18:50</t>
  </si>
  <si>
    <t>19:00</t>
  </si>
  <si>
    <t>19:10</t>
  </si>
  <si>
    <t>19:20</t>
  </si>
  <si>
    <t>19:30</t>
  </si>
  <si>
    <t>19:40</t>
  </si>
  <si>
    <t>19:50</t>
  </si>
  <si>
    <t>20:00</t>
  </si>
  <si>
    <t>20:30</t>
  </si>
  <si>
    <t>21:00</t>
  </si>
  <si>
    <t>قديري</t>
  </si>
  <si>
    <t>22:00</t>
  </si>
  <si>
    <t>09:15</t>
  </si>
  <si>
    <t>09:45</t>
  </si>
  <si>
    <t>14:25</t>
  </si>
  <si>
    <t>15:05</t>
  </si>
  <si>
    <t>15:25</t>
  </si>
  <si>
    <t>15:35</t>
  </si>
  <si>
    <t>15:45</t>
  </si>
  <si>
    <t>16:05</t>
  </si>
  <si>
    <t>16:15</t>
  </si>
  <si>
    <t>16:35</t>
  </si>
  <si>
    <t>16:55</t>
  </si>
  <si>
    <t>17:05</t>
  </si>
  <si>
    <t>17:15</t>
  </si>
  <si>
    <t>17:25</t>
  </si>
  <si>
    <t>17:35</t>
  </si>
  <si>
    <t>17:45</t>
  </si>
  <si>
    <t>17:55</t>
  </si>
  <si>
    <t>18:05</t>
  </si>
  <si>
    <t>18:15</t>
  </si>
  <si>
    <t>18:45</t>
  </si>
  <si>
    <t>19:15</t>
  </si>
  <si>
    <t>19:45</t>
  </si>
  <si>
    <t>20:50</t>
  </si>
  <si>
    <t>21:10</t>
  </si>
  <si>
    <t>21:30</t>
  </si>
  <si>
    <t>05:15</t>
  </si>
  <si>
    <t>عمراني</t>
  </si>
  <si>
    <t>سيد مهدي</t>
  </si>
  <si>
    <t>آقا ميري</t>
  </si>
  <si>
    <t>صادقي انصاف</t>
  </si>
  <si>
    <t>سروريان</t>
  </si>
  <si>
    <t>خليل</t>
  </si>
  <si>
    <t>گرامي نيا</t>
  </si>
  <si>
    <t>فهيم زاده</t>
  </si>
  <si>
    <t>حامد</t>
  </si>
  <si>
    <t>زرودي</t>
  </si>
  <si>
    <t>اميري</t>
  </si>
  <si>
    <t>تراب بيكي</t>
  </si>
  <si>
    <t>20:20</t>
  </si>
  <si>
    <t>20:40</t>
  </si>
  <si>
    <t>13:50</t>
  </si>
  <si>
    <t>14:10</t>
  </si>
  <si>
    <t>14:20</t>
  </si>
  <si>
    <t>`</t>
  </si>
  <si>
    <t>رشادي</t>
  </si>
  <si>
    <t>دمرچلي</t>
  </si>
  <si>
    <t>اميني</t>
  </si>
  <si>
    <t>ايرج</t>
  </si>
  <si>
    <t>سيفي مزرعه</t>
  </si>
  <si>
    <t>حسام</t>
  </si>
  <si>
    <t>عيني</t>
  </si>
  <si>
    <t>صالح</t>
  </si>
  <si>
    <t>مهدي زاده</t>
  </si>
  <si>
    <t>رضائي</t>
  </si>
  <si>
    <t>مهران</t>
  </si>
  <si>
    <t>وفائي</t>
  </si>
  <si>
    <t>مراديان</t>
  </si>
  <si>
    <t>ماهر</t>
  </si>
  <si>
    <t>فرج زاده موالو</t>
  </si>
  <si>
    <t>ابراهيمي</t>
  </si>
  <si>
    <t>امير</t>
  </si>
  <si>
    <t>مرادي شميم</t>
  </si>
  <si>
    <t>شربت يان آذر</t>
  </si>
  <si>
    <t>باقري</t>
  </si>
  <si>
    <t>مسعود</t>
  </si>
  <si>
    <t>منتخبي</t>
  </si>
  <si>
    <t>حقگو</t>
  </si>
  <si>
    <t>القاصي</t>
  </si>
  <si>
    <t>بناي زيرك كار</t>
  </si>
  <si>
    <t>يونس</t>
  </si>
  <si>
    <t>حيدري مجره</t>
  </si>
  <si>
    <t>ابوذر</t>
  </si>
  <si>
    <t>دهقاني</t>
  </si>
  <si>
    <t>صبح</t>
  </si>
  <si>
    <t>عصر</t>
  </si>
  <si>
    <t>پنجشنبه</t>
  </si>
  <si>
    <t>نام</t>
  </si>
  <si>
    <t>تاريخ</t>
  </si>
  <si>
    <t>A</t>
  </si>
  <si>
    <t>B</t>
  </si>
  <si>
    <t>C</t>
  </si>
  <si>
    <t>D</t>
  </si>
  <si>
    <t>day</t>
  </si>
  <si>
    <t>صبحكار</t>
  </si>
  <si>
    <t>عصركار</t>
  </si>
  <si>
    <t>OFF</t>
  </si>
  <si>
    <t>1400/11/20</t>
  </si>
  <si>
    <t>صبحكار دوم</t>
  </si>
  <si>
    <t>عصركار دوم</t>
  </si>
  <si>
    <t>استراحت دوم</t>
  </si>
  <si>
    <t>ثابت کار</t>
  </si>
  <si>
    <t>چهارشنبه</t>
  </si>
  <si>
    <t>1400/11/21</t>
  </si>
  <si>
    <t>عصركار اول</t>
  </si>
  <si>
    <t>استراحت اول</t>
  </si>
  <si>
    <t>صبحكار اول</t>
  </si>
  <si>
    <t>1400/11/22</t>
  </si>
  <si>
    <t>جمعه</t>
  </si>
  <si>
    <t>1400/11/23</t>
  </si>
  <si>
    <t>شنبه</t>
  </si>
  <si>
    <t>1400/11/24</t>
  </si>
  <si>
    <t>یکشنبه</t>
  </si>
  <si>
    <t>1400/11/25</t>
  </si>
  <si>
    <t>دوشنبه</t>
  </si>
  <si>
    <t>1400/11/26</t>
  </si>
  <si>
    <t>سه شنبه</t>
  </si>
  <si>
    <t>1400/11/27</t>
  </si>
  <si>
    <t>1400/11/28</t>
  </si>
  <si>
    <t>1400/11/29</t>
  </si>
  <si>
    <t>1400/11/30</t>
  </si>
  <si>
    <t>1400/12/01</t>
  </si>
  <si>
    <t>1400/12/02</t>
  </si>
  <si>
    <t>1400/12/03</t>
  </si>
  <si>
    <t>1400/12/04</t>
  </si>
  <si>
    <t>1400/12/05</t>
  </si>
  <si>
    <t>1400/12/06</t>
  </si>
  <si>
    <t>1400/12/07</t>
  </si>
  <si>
    <t>1400/12/08</t>
  </si>
  <si>
    <t>1400/12/09</t>
  </si>
  <si>
    <t>1400/12/10</t>
  </si>
  <si>
    <t>1400/12/11</t>
  </si>
  <si>
    <t>1400/12/12</t>
  </si>
  <si>
    <t>1400/12/13</t>
  </si>
  <si>
    <t>1400/12/14</t>
  </si>
  <si>
    <t>1400/12/15</t>
  </si>
  <si>
    <t>1400/12/16</t>
  </si>
  <si>
    <t>1400/12/17</t>
  </si>
  <si>
    <t>1400/12/18</t>
  </si>
  <si>
    <t>1400/12/19</t>
  </si>
  <si>
    <t>1400/12/20</t>
  </si>
  <si>
    <t>1400/12/21</t>
  </si>
  <si>
    <t>1400/12/22</t>
  </si>
  <si>
    <t>1400/12/23</t>
  </si>
  <si>
    <t>1400/12/24</t>
  </si>
  <si>
    <t>1400/12/25</t>
  </si>
  <si>
    <t>1400/12/26</t>
  </si>
  <si>
    <t>1400/12/27</t>
  </si>
  <si>
    <t>1400/12/28</t>
  </si>
  <si>
    <t>1400/12/29</t>
  </si>
  <si>
    <t>1401/01/01</t>
  </si>
  <si>
    <t>1401/01/02</t>
  </si>
  <si>
    <t>1401/01/03</t>
  </si>
  <si>
    <t>1401/01/04</t>
  </si>
  <si>
    <t>1401/01/05</t>
  </si>
  <si>
    <t>1401/01/06</t>
  </si>
  <si>
    <t>1401/01/07</t>
  </si>
  <si>
    <t>1401/01/08</t>
  </si>
  <si>
    <t>1401/01/09</t>
  </si>
  <si>
    <t>1401/01/10</t>
  </si>
  <si>
    <t>1401/01/11</t>
  </si>
  <si>
    <t>1401/01/12</t>
  </si>
  <si>
    <t>1401/01/13</t>
  </si>
  <si>
    <t>1401/01/14</t>
  </si>
  <si>
    <t>1401/01/15</t>
  </si>
  <si>
    <t>1401/01/16</t>
  </si>
  <si>
    <t>1401/01/17</t>
  </si>
  <si>
    <t>1401/01/18</t>
  </si>
  <si>
    <t>1401/01/19</t>
  </si>
  <si>
    <t>1401/01/20</t>
  </si>
  <si>
    <t>1401/01/21</t>
  </si>
  <si>
    <t>1401/01/22</t>
  </si>
  <si>
    <t>1401/01/23</t>
  </si>
  <si>
    <t>1401/01/24</t>
  </si>
  <si>
    <t>1401/01/25</t>
  </si>
  <si>
    <t>1401/01/26</t>
  </si>
  <si>
    <t>1401/01/27</t>
  </si>
  <si>
    <t>1401/01/28</t>
  </si>
  <si>
    <t>1401/01/29</t>
  </si>
  <si>
    <t>1401/01/30</t>
  </si>
  <si>
    <t>1401/01/31</t>
  </si>
  <si>
    <t>1401/02/01</t>
  </si>
  <si>
    <t>1401/02/02</t>
  </si>
  <si>
    <t>1401/02/03</t>
  </si>
  <si>
    <t>1401/02/04</t>
  </si>
  <si>
    <t>1401/02/05</t>
  </si>
  <si>
    <t>1401/02/06</t>
  </si>
  <si>
    <t>1401/02/07</t>
  </si>
  <si>
    <t>1401/02/08</t>
  </si>
  <si>
    <t>1401/02/09</t>
  </si>
  <si>
    <t>1401/02/10</t>
  </si>
  <si>
    <t>1401/02/11</t>
  </si>
  <si>
    <t>1401/02/12</t>
  </si>
  <si>
    <t>1401/02/13</t>
  </si>
  <si>
    <t>1401/02/14</t>
  </si>
  <si>
    <t>1401/02/15</t>
  </si>
  <si>
    <t>1401/02/16</t>
  </si>
  <si>
    <t>1401/02/17</t>
  </si>
  <si>
    <t>1401/02/18</t>
  </si>
  <si>
    <t>1401/02/19</t>
  </si>
  <si>
    <t>1401/02/20</t>
  </si>
  <si>
    <t>1401/02/21</t>
  </si>
  <si>
    <t>1401/02/22</t>
  </si>
  <si>
    <t>1401/02/23</t>
  </si>
  <si>
    <t>1401/02/24</t>
  </si>
  <si>
    <t>1401/02/25</t>
  </si>
  <si>
    <t>1401/02/26</t>
  </si>
  <si>
    <t>1401/02/27</t>
  </si>
  <si>
    <t>1401/02/28</t>
  </si>
  <si>
    <t>1401/02/29</t>
  </si>
  <si>
    <t>1401/02/30</t>
  </si>
  <si>
    <t>1401/02/31</t>
  </si>
  <si>
    <t>1401/03/01</t>
  </si>
  <si>
    <t>1401/03/02</t>
  </si>
  <si>
    <t>1401/03/03</t>
  </si>
  <si>
    <t>1401/03/04</t>
  </si>
  <si>
    <t>1401/03/05</t>
  </si>
  <si>
    <t>1401/03/06</t>
  </si>
  <si>
    <t>1401/03/07</t>
  </si>
  <si>
    <t>1401/03/08</t>
  </si>
  <si>
    <t>1401/03/09</t>
  </si>
  <si>
    <t>1401/03/10</t>
  </si>
  <si>
    <t>1401/03/11</t>
  </si>
  <si>
    <t>1401/03/12</t>
  </si>
  <si>
    <t>1401/03/13</t>
  </si>
  <si>
    <t>1401/03/14</t>
  </si>
  <si>
    <t>1401/03/15</t>
  </si>
  <si>
    <t>1401/03/16</t>
  </si>
  <si>
    <t>1401/03/17</t>
  </si>
  <si>
    <t>1401/03/18</t>
  </si>
  <si>
    <t>1401/03/19</t>
  </si>
  <si>
    <t>1401/03/20</t>
  </si>
  <si>
    <t>1401/03/21</t>
  </si>
  <si>
    <t>1401/03/22</t>
  </si>
  <si>
    <t>1401/03/23</t>
  </si>
  <si>
    <t>1401/03/24</t>
  </si>
  <si>
    <t>1401/03/25</t>
  </si>
  <si>
    <t>1401/03/26</t>
  </si>
  <si>
    <t>1401/03/27</t>
  </si>
  <si>
    <t>1401/03/28</t>
  </si>
  <si>
    <t>1401/03/29</t>
  </si>
  <si>
    <t>1401/03/30</t>
  </si>
  <si>
    <t>1401/03/31</t>
  </si>
  <si>
    <t>1401/04/01</t>
  </si>
  <si>
    <t>1401/04/02</t>
  </si>
  <si>
    <t>1401/04/03</t>
  </si>
  <si>
    <t>1401/04/04</t>
  </si>
  <si>
    <t>1401/04/05</t>
  </si>
  <si>
    <t>1401/04/06</t>
  </si>
  <si>
    <t>1401/04/07</t>
  </si>
  <si>
    <t>1401/04/08</t>
  </si>
  <si>
    <t>1401/04/09</t>
  </si>
  <si>
    <t>1401/04/10</t>
  </si>
  <si>
    <t>1401/04/11</t>
  </si>
  <si>
    <t>1401/04/12</t>
  </si>
  <si>
    <t>1401/04/13</t>
  </si>
  <si>
    <t>1401/04/14</t>
  </si>
  <si>
    <t>1401/04/15</t>
  </si>
  <si>
    <t>1401/04/16</t>
  </si>
  <si>
    <t>1401/04/17</t>
  </si>
  <si>
    <t>1401/04/18</t>
  </si>
  <si>
    <t>1401/04/19</t>
  </si>
  <si>
    <t>1401/04/20</t>
  </si>
  <si>
    <t>1401/04/21</t>
  </si>
  <si>
    <t>1401/04/22</t>
  </si>
  <si>
    <t>1401/04/23</t>
  </si>
  <si>
    <t>1401/04/24</t>
  </si>
  <si>
    <t>1401/04/25</t>
  </si>
  <si>
    <t>1401/04/26</t>
  </si>
  <si>
    <t>1401/04/27</t>
  </si>
  <si>
    <t>1401/04/28</t>
  </si>
  <si>
    <t>1401/04/29</t>
  </si>
  <si>
    <t>1401/04/30</t>
  </si>
  <si>
    <t>1401/04/31</t>
  </si>
  <si>
    <t>1401/05/01</t>
  </si>
  <si>
    <t>1401/05/02</t>
  </si>
  <si>
    <t>1401/05/03</t>
  </si>
  <si>
    <t>1401/05/04</t>
  </si>
  <si>
    <t>1401/05/05</t>
  </si>
  <si>
    <t>1401/05/06</t>
  </si>
  <si>
    <t>1401/05/07</t>
  </si>
  <si>
    <t>1401/05/08</t>
  </si>
  <si>
    <t>1401/05/09</t>
  </si>
  <si>
    <t>1401/05/10</t>
  </si>
  <si>
    <t>1401/05/11</t>
  </si>
  <si>
    <t>1401/05/12</t>
  </si>
  <si>
    <t>1401/05/13</t>
  </si>
  <si>
    <t>1401/05/14</t>
  </si>
  <si>
    <t>1401/05/15</t>
  </si>
  <si>
    <t>1401/05/16</t>
  </si>
  <si>
    <t>1401/05/17</t>
  </si>
  <si>
    <t>1401/05/18</t>
  </si>
  <si>
    <t>1401/05/19</t>
  </si>
  <si>
    <t>1401/05/20</t>
  </si>
  <si>
    <t>1401/05/21</t>
  </si>
  <si>
    <t>1401/05/22</t>
  </si>
  <si>
    <t>1401/05/23</t>
  </si>
  <si>
    <t>1401/05/24</t>
  </si>
  <si>
    <t>1401/05/25</t>
  </si>
  <si>
    <t>1401/05/26</t>
  </si>
  <si>
    <t>1401/05/27</t>
  </si>
  <si>
    <t>1401/05/28</t>
  </si>
  <si>
    <t>1401/05/29</t>
  </si>
  <si>
    <t>1401/05/30</t>
  </si>
  <si>
    <t>1401/05/31</t>
  </si>
  <si>
    <t>1401/06/01</t>
  </si>
  <si>
    <t>1401/06/02</t>
  </si>
  <si>
    <t>1401/06/03</t>
  </si>
  <si>
    <t>1401/06/04</t>
  </si>
  <si>
    <t>1401/06/05</t>
  </si>
  <si>
    <t>1401/06/06</t>
  </si>
  <si>
    <t>1401/06/07</t>
  </si>
  <si>
    <t>1401/06/08</t>
  </si>
  <si>
    <t>1401/06/09</t>
  </si>
  <si>
    <t>1401/06/10</t>
  </si>
  <si>
    <t>1401/06/11</t>
  </si>
  <si>
    <t>1401/06/12</t>
  </si>
  <si>
    <t>1401/06/13</t>
  </si>
  <si>
    <t>1401/06/14</t>
  </si>
  <si>
    <t>1401/06/15</t>
  </si>
  <si>
    <t>1401/06/16</t>
  </si>
  <si>
    <t>1401/06/17</t>
  </si>
  <si>
    <t>1401/06/18</t>
  </si>
  <si>
    <t>1401/06/19</t>
  </si>
  <si>
    <t>1401/06/20</t>
  </si>
  <si>
    <t>1401/06/21</t>
  </si>
  <si>
    <t>1401/06/22</t>
  </si>
  <si>
    <t>1401/06/23</t>
  </si>
  <si>
    <t>1401/06/24</t>
  </si>
  <si>
    <t>1401/06/25</t>
  </si>
  <si>
    <t>1401/06/26</t>
  </si>
  <si>
    <t>1401/06/27</t>
  </si>
  <si>
    <t>1401/06/28</t>
  </si>
  <si>
    <t>1401/06/29</t>
  </si>
  <si>
    <t>1401/06/30</t>
  </si>
  <si>
    <t>1401/06/31</t>
  </si>
  <si>
    <t>ردیف</t>
  </si>
  <si>
    <t>نام خانوادگی</t>
  </si>
  <si>
    <t>شماره پرسنلی</t>
  </si>
  <si>
    <t>مبدا</t>
  </si>
  <si>
    <t>نوع شیفت</t>
  </si>
  <si>
    <t>نام شیفت</t>
  </si>
  <si>
    <t>شيفت</t>
  </si>
  <si>
    <t>1</t>
  </si>
  <si>
    <t>99255</t>
  </si>
  <si>
    <t>9 ساعته</t>
  </si>
  <si>
    <t>2</t>
  </si>
  <si>
    <t>پرتوي</t>
  </si>
  <si>
    <t>71628</t>
  </si>
  <si>
    <t>3</t>
  </si>
  <si>
    <t>اسماعيل</t>
  </si>
  <si>
    <t>جليلي</t>
  </si>
  <si>
    <t>71172</t>
  </si>
  <si>
    <t>4</t>
  </si>
  <si>
    <t>جواد</t>
  </si>
  <si>
    <t>72723</t>
  </si>
  <si>
    <t>5</t>
  </si>
  <si>
    <t>حسيني رباط</t>
  </si>
  <si>
    <t>99942</t>
  </si>
  <si>
    <t>6</t>
  </si>
  <si>
    <t>99672</t>
  </si>
  <si>
    <t>7</t>
  </si>
  <si>
    <t>زعيمي</t>
  </si>
  <si>
    <t>74724</t>
  </si>
  <si>
    <t>8</t>
  </si>
  <si>
    <t>حسن</t>
  </si>
  <si>
    <t>9</t>
  </si>
  <si>
    <t>71138</t>
  </si>
  <si>
    <t>10</t>
  </si>
  <si>
    <t>شكري</t>
  </si>
  <si>
    <t>99265</t>
  </si>
  <si>
    <t>11</t>
  </si>
  <si>
    <t>99718</t>
  </si>
  <si>
    <t>12</t>
  </si>
  <si>
    <t>شيري</t>
  </si>
  <si>
    <t>71864</t>
  </si>
  <si>
    <t>13</t>
  </si>
  <si>
    <t>14</t>
  </si>
  <si>
    <t>99676</t>
  </si>
  <si>
    <t>15</t>
  </si>
  <si>
    <t>عارف پور</t>
  </si>
  <si>
    <t>99677</t>
  </si>
  <si>
    <t>16</t>
  </si>
  <si>
    <t>71892</t>
  </si>
  <si>
    <t>17</t>
  </si>
  <si>
    <t>صادق</t>
  </si>
  <si>
    <t>قرباني قصابعليسرائي</t>
  </si>
  <si>
    <t>71565</t>
  </si>
  <si>
    <t>18</t>
  </si>
  <si>
    <t>كاظمي</t>
  </si>
  <si>
    <t>99792</t>
  </si>
  <si>
    <t>19</t>
  </si>
  <si>
    <t>20</t>
  </si>
  <si>
    <t>21</t>
  </si>
  <si>
    <t>22</t>
  </si>
  <si>
    <t>محمدي</t>
  </si>
  <si>
    <t>73122</t>
  </si>
  <si>
    <t>23</t>
  </si>
  <si>
    <t>72915</t>
  </si>
  <si>
    <t>24</t>
  </si>
  <si>
    <t>عبدالرضا</t>
  </si>
  <si>
    <t>ملكي فرد</t>
  </si>
  <si>
    <t>99796</t>
  </si>
  <si>
    <t>25</t>
  </si>
  <si>
    <t>26</t>
  </si>
  <si>
    <t>مويدي كيا</t>
  </si>
  <si>
    <t>99719</t>
  </si>
  <si>
    <t>27</t>
  </si>
  <si>
    <t>حبيب</t>
  </si>
  <si>
    <t>71552</t>
  </si>
  <si>
    <t>28</t>
  </si>
  <si>
    <t>29</t>
  </si>
  <si>
    <t>يارمحمدي</t>
  </si>
  <si>
    <t>99457</t>
  </si>
  <si>
    <t>30</t>
  </si>
  <si>
    <t>71567</t>
  </si>
  <si>
    <t>31</t>
  </si>
  <si>
    <t>اسدي</t>
  </si>
  <si>
    <t>71255</t>
  </si>
  <si>
    <t>32</t>
  </si>
  <si>
    <t>33</t>
  </si>
  <si>
    <t>34</t>
  </si>
  <si>
    <t>71257</t>
  </si>
  <si>
    <t>35</t>
  </si>
  <si>
    <t>72839</t>
  </si>
  <si>
    <t>36</t>
  </si>
  <si>
    <t>71626</t>
  </si>
  <si>
    <t>37</t>
  </si>
  <si>
    <t>ريوندي</t>
  </si>
  <si>
    <t>99595</t>
  </si>
  <si>
    <t>38</t>
  </si>
  <si>
    <t>39</t>
  </si>
  <si>
    <t>40</t>
  </si>
  <si>
    <t>98393</t>
  </si>
  <si>
    <t>41</t>
  </si>
  <si>
    <t>99592</t>
  </si>
  <si>
    <t>42</t>
  </si>
  <si>
    <t>43</t>
  </si>
  <si>
    <t>74616</t>
  </si>
  <si>
    <t>44</t>
  </si>
  <si>
    <t>فتحي رودسري</t>
  </si>
  <si>
    <t>99145</t>
  </si>
  <si>
    <t>45</t>
  </si>
  <si>
    <t>46</t>
  </si>
  <si>
    <t>74256</t>
  </si>
  <si>
    <t>47</t>
  </si>
  <si>
    <t>48</t>
  </si>
  <si>
    <t>99698</t>
  </si>
  <si>
    <t>49</t>
  </si>
  <si>
    <t>99422</t>
  </si>
  <si>
    <t>50</t>
  </si>
  <si>
    <t>71722</t>
  </si>
  <si>
    <t>51</t>
  </si>
  <si>
    <t>52</t>
  </si>
  <si>
    <t>مولائي</t>
  </si>
  <si>
    <t>53</t>
  </si>
  <si>
    <t>99237</t>
  </si>
  <si>
    <t>54</t>
  </si>
  <si>
    <t>نادري</t>
  </si>
  <si>
    <t>72894</t>
  </si>
  <si>
    <t>55</t>
  </si>
  <si>
    <t>99369</t>
  </si>
  <si>
    <t>56</t>
  </si>
  <si>
    <t>71115</t>
  </si>
  <si>
    <t>57</t>
  </si>
  <si>
    <t>علي اكبر</t>
  </si>
  <si>
    <t>يغما</t>
  </si>
  <si>
    <t>99572</t>
  </si>
  <si>
    <t>58</t>
  </si>
  <si>
    <t>59</t>
  </si>
  <si>
    <t>60</t>
  </si>
  <si>
    <t>76724</t>
  </si>
  <si>
    <t>61</t>
  </si>
  <si>
    <t>78765</t>
  </si>
  <si>
    <t>62</t>
  </si>
  <si>
    <t>63</t>
  </si>
  <si>
    <t>64</t>
  </si>
  <si>
    <t>99924</t>
  </si>
  <si>
    <t>65</t>
  </si>
  <si>
    <t>74722</t>
  </si>
  <si>
    <t>66</t>
  </si>
  <si>
    <t>99692</t>
  </si>
  <si>
    <t>67</t>
  </si>
  <si>
    <t>74816</t>
  </si>
  <si>
    <t>68</t>
  </si>
  <si>
    <t>99741</t>
  </si>
  <si>
    <t>69</t>
  </si>
  <si>
    <t>76552</t>
  </si>
  <si>
    <t>70</t>
  </si>
  <si>
    <t>71</t>
  </si>
  <si>
    <t>71329</t>
  </si>
  <si>
    <t>73</t>
  </si>
  <si>
    <t>شعباني</t>
  </si>
  <si>
    <t>76551</t>
  </si>
  <si>
    <t>74</t>
  </si>
  <si>
    <t>عباسي گوراجويي</t>
  </si>
  <si>
    <t>99411</t>
  </si>
  <si>
    <t>75</t>
  </si>
  <si>
    <t>99377</t>
  </si>
  <si>
    <t>76</t>
  </si>
  <si>
    <t>71165</t>
  </si>
  <si>
    <t>77</t>
  </si>
  <si>
    <t>سهيل</t>
  </si>
  <si>
    <t>قراگوزلو</t>
  </si>
  <si>
    <t>78764</t>
  </si>
  <si>
    <t>78</t>
  </si>
  <si>
    <t>79</t>
  </si>
  <si>
    <t>99426</t>
  </si>
  <si>
    <t>80</t>
  </si>
  <si>
    <t>74669</t>
  </si>
  <si>
    <t>81</t>
  </si>
  <si>
    <t>99386</t>
  </si>
  <si>
    <t>82</t>
  </si>
  <si>
    <t>73131</t>
  </si>
  <si>
    <t>83</t>
  </si>
  <si>
    <t>78977</t>
  </si>
  <si>
    <t>84</t>
  </si>
  <si>
    <t>85</t>
  </si>
  <si>
    <t>97974</t>
  </si>
  <si>
    <t>99397</t>
  </si>
  <si>
    <t>تهران</t>
  </si>
  <si>
    <t>71338</t>
  </si>
  <si>
    <t>حسيني</t>
  </si>
  <si>
    <t>99272</t>
  </si>
  <si>
    <t>حسيني ججين</t>
  </si>
  <si>
    <t>99412</t>
  </si>
  <si>
    <t>99246</t>
  </si>
  <si>
    <t>رضايي اسعد</t>
  </si>
  <si>
    <t>71556</t>
  </si>
  <si>
    <t>رفيع پور</t>
  </si>
  <si>
    <t>99927</t>
  </si>
  <si>
    <t>71273</t>
  </si>
  <si>
    <t>فرحمند حبيبي سوستاني</t>
  </si>
  <si>
    <t>99788</t>
  </si>
  <si>
    <t>72</t>
  </si>
  <si>
    <t>98828</t>
  </si>
  <si>
    <t>ابراهيمي بردر</t>
  </si>
  <si>
    <t>99382</t>
  </si>
  <si>
    <t>99849</t>
  </si>
  <si>
    <t>داداشيان</t>
  </si>
  <si>
    <t>71343</t>
  </si>
  <si>
    <t>71549</t>
  </si>
  <si>
    <t>99271</t>
  </si>
  <si>
    <t>71191</t>
  </si>
  <si>
    <t>71548</t>
  </si>
  <si>
    <t>71224</t>
  </si>
  <si>
    <t>71546</t>
  </si>
  <si>
    <t>99259</t>
  </si>
  <si>
    <t>36624</t>
  </si>
  <si>
    <t>71292</t>
  </si>
  <si>
    <t>RG</t>
  </si>
  <si>
    <t>HG</t>
  </si>
  <si>
    <t>RT</t>
  </si>
  <si>
    <t>HT</t>
  </si>
  <si>
    <t>راهبر</t>
  </si>
  <si>
    <t>05:20</t>
  </si>
  <si>
    <t>كمك راهبر</t>
  </si>
  <si>
    <t>راهبر آموزشي</t>
  </si>
  <si>
    <t>20:45</t>
  </si>
  <si>
    <t>21:40</t>
  </si>
  <si>
    <t>1401/07/01</t>
  </si>
  <si>
    <t>1401/07/02</t>
  </si>
  <si>
    <t>1401/07/03</t>
  </si>
  <si>
    <t>1401/07/04</t>
  </si>
  <si>
    <t>1401/07/05</t>
  </si>
  <si>
    <t>1401/07/06</t>
  </si>
  <si>
    <t>1401/07/07</t>
  </si>
  <si>
    <t>1401/07/08</t>
  </si>
  <si>
    <t>1401/07/09</t>
  </si>
  <si>
    <t>1401/07/10</t>
  </si>
  <si>
    <t>1401/07/11</t>
  </si>
  <si>
    <t>1401/07/12</t>
  </si>
  <si>
    <t>1401/07/13</t>
  </si>
  <si>
    <t>1401/07/14</t>
  </si>
  <si>
    <t>1401/07/15</t>
  </si>
  <si>
    <t>1401/07/16</t>
  </si>
  <si>
    <t>1401/07/17</t>
  </si>
  <si>
    <t>1401/07/18</t>
  </si>
  <si>
    <t>1401/07/19</t>
  </si>
  <si>
    <t>1401/07/20</t>
  </si>
  <si>
    <t>1401/07/21</t>
  </si>
  <si>
    <t>1401/07/22</t>
  </si>
  <si>
    <t>1401/07/23</t>
  </si>
  <si>
    <t>1401/07/24</t>
  </si>
  <si>
    <t>1401/07/25</t>
  </si>
  <si>
    <t>1401/07/26</t>
  </si>
  <si>
    <t>1401/07/27</t>
  </si>
  <si>
    <t>1401/07/28</t>
  </si>
  <si>
    <t>1401/07/29</t>
  </si>
  <si>
    <t>1401/07/30</t>
  </si>
  <si>
    <t>1401/08/01</t>
  </si>
  <si>
    <t>1401/08/02</t>
  </si>
  <si>
    <t>1401/08/03</t>
  </si>
  <si>
    <t>1401/08/04</t>
  </si>
  <si>
    <t>1401/08/05</t>
  </si>
  <si>
    <t>1401/08/06</t>
  </si>
  <si>
    <t>1401/08/07</t>
  </si>
  <si>
    <t>1401/08/08</t>
  </si>
  <si>
    <t>1401/08/09</t>
  </si>
  <si>
    <t>1401/08/10</t>
  </si>
  <si>
    <t>1401/08/11</t>
  </si>
  <si>
    <t>1401/08/12</t>
  </si>
  <si>
    <t>1401/08/13</t>
  </si>
  <si>
    <t>1401/08/14</t>
  </si>
  <si>
    <t>1401/08/15</t>
  </si>
  <si>
    <t>1401/08/16</t>
  </si>
  <si>
    <t>1401/08/17</t>
  </si>
  <si>
    <t>1401/08/18</t>
  </si>
  <si>
    <t>1401/08/19</t>
  </si>
  <si>
    <t>1401/08/20</t>
  </si>
  <si>
    <t>1401/08/21</t>
  </si>
  <si>
    <t>1401/08/22</t>
  </si>
  <si>
    <t>1401/08/23</t>
  </si>
  <si>
    <t>1401/08/24</t>
  </si>
  <si>
    <t>1401/08/25</t>
  </si>
  <si>
    <t>1401/08/26</t>
  </si>
  <si>
    <t>1401/08/27</t>
  </si>
  <si>
    <t>1401/08/28</t>
  </si>
  <si>
    <t>1401/08/29</t>
  </si>
  <si>
    <t>1401/08/30</t>
  </si>
  <si>
    <t>1401/09/01</t>
  </si>
  <si>
    <t>1401/09/02</t>
  </si>
  <si>
    <t>1401/09/03</t>
  </si>
  <si>
    <t>1401/09/04</t>
  </si>
  <si>
    <t>1401/09/05</t>
  </si>
  <si>
    <t>1401/09/06</t>
  </si>
  <si>
    <t>1401/09/07</t>
  </si>
  <si>
    <t>1401/09/08</t>
  </si>
  <si>
    <t>1401/09/09</t>
  </si>
  <si>
    <t>1401/09/10</t>
  </si>
  <si>
    <t>1401/09/11</t>
  </si>
  <si>
    <t>1401/09/12</t>
  </si>
  <si>
    <t>1401/09/13</t>
  </si>
  <si>
    <t>1401/09/14</t>
  </si>
  <si>
    <t>1401/09/15</t>
  </si>
  <si>
    <t>1401/09/16</t>
  </si>
  <si>
    <t>1401/09/17</t>
  </si>
  <si>
    <t>1401/09/18</t>
  </si>
  <si>
    <t>1401/09/19</t>
  </si>
  <si>
    <t>1401/09/20</t>
  </si>
  <si>
    <t>1401/09/21</t>
  </si>
  <si>
    <t>1401/09/22</t>
  </si>
  <si>
    <t>1401/09/23</t>
  </si>
  <si>
    <t>1401/09/24</t>
  </si>
  <si>
    <t>1401/09/25</t>
  </si>
  <si>
    <t>1401/09/26</t>
  </si>
  <si>
    <t>1401/09/27</t>
  </si>
  <si>
    <t>1401/09/28</t>
  </si>
  <si>
    <t>1401/09/29</t>
  </si>
  <si>
    <t>1401/09/30</t>
  </si>
  <si>
    <t>1401/10/01</t>
  </si>
  <si>
    <t>1401/10/02</t>
  </si>
  <si>
    <t>1401/10/03</t>
  </si>
  <si>
    <t>1401/10/04</t>
  </si>
  <si>
    <t>1401/10/05</t>
  </si>
  <si>
    <t>1401/10/06</t>
  </si>
  <si>
    <t>1401/10/07</t>
  </si>
  <si>
    <t>1401/10/08</t>
  </si>
  <si>
    <t>1401/10/09</t>
  </si>
  <si>
    <t>1401/10/10</t>
  </si>
  <si>
    <t>1401/10/11</t>
  </si>
  <si>
    <t>1401/10/12</t>
  </si>
  <si>
    <t>1401/10/13</t>
  </si>
  <si>
    <t>1401/10/14</t>
  </si>
  <si>
    <t>1401/10/15</t>
  </si>
  <si>
    <t>1401/10/16</t>
  </si>
  <si>
    <t>1401/10/17</t>
  </si>
  <si>
    <t>1401/10/18</t>
  </si>
  <si>
    <t>1401/10/19</t>
  </si>
  <si>
    <t>1401/10/20</t>
  </si>
  <si>
    <t>1401/10/21</t>
  </si>
  <si>
    <t>1401/10/22</t>
  </si>
  <si>
    <t>1401/10/23</t>
  </si>
  <si>
    <t>1401/10/24</t>
  </si>
  <si>
    <t>1401/10/25</t>
  </si>
  <si>
    <t>1401/10/26</t>
  </si>
  <si>
    <t>1401/10/27</t>
  </si>
  <si>
    <t>1401/10/28</t>
  </si>
  <si>
    <t>1401/10/29</t>
  </si>
  <si>
    <t>1401/10/30</t>
  </si>
  <si>
    <t>1401/11/01</t>
  </si>
  <si>
    <t>1401/11/02</t>
  </si>
  <si>
    <t>1401/11/03</t>
  </si>
  <si>
    <t>1401/11/04</t>
  </si>
  <si>
    <t>1401/11/05</t>
  </si>
  <si>
    <t>1401/11/06</t>
  </si>
  <si>
    <t>1401/11/07</t>
  </si>
  <si>
    <t>1401/11/08</t>
  </si>
  <si>
    <t>1401/11/09</t>
  </si>
  <si>
    <t>1401/11/10</t>
  </si>
  <si>
    <t>1401/11/11</t>
  </si>
  <si>
    <t>1401/11/12</t>
  </si>
  <si>
    <t>1401/11/13</t>
  </si>
  <si>
    <t>1401/11/14</t>
  </si>
  <si>
    <t>1401/11/15</t>
  </si>
  <si>
    <t>1401/11/16</t>
  </si>
  <si>
    <t>1401/11/17</t>
  </si>
  <si>
    <t>1401/11/18</t>
  </si>
  <si>
    <t>1401/11/19</t>
  </si>
  <si>
    <t>1401/11/20</t>
  </si>
  <si>
    <t>1401/11/21</t>
  </si>
  <si>
    <t>1401/11/22</t>
  </si>
  <si>
    <t>1401/11/23</t>
  </si>
  <si>
    <t>1401/11/24</t>
  </si>
  <si>
    <t>1401/11/25</t>
  </si>
  <si>
    <t>1401/11/26</t>
  </si>
  <si>
    <t>1401/11/27</t>
  </si>
  <si>
    <t>1401/11/28</t>
  </si>
  <si>
    <t>1401/11/29</t>
  </si>
  <si>
    <t>1401/11/30</t>
  </si>
  <si>
    <t>1401/12/01</t>
  </si>
  <si>
    <t>1401/12/02</t>
  </si>
  <si>
    <t>1401/12/03</t>
  </si>
  <si>
    <t>1401/12/04</t>
  </si>
  <si>
    <t>1401/12/05</t>
  </si>
  <si>
    <t>1401/12/06</t>
  </si>
  <si>
    <t>1401/12/07</t>
  </si>
  <si>
    <t>1401/12/08</t>
  </si>
  <si>
    <t>1401/12/09</t>
  </si>
  <si>
    <t>1401/12/10</t>
  </si>
  <si>
    <t>1401/12/11</t>
  </si>
  <si>
    <t>1401/12/12</t>
  </si>
  <si>
    <t>1401/12/13</t>
  </si>
  <si>
    <t>1401/12/14</t>
  </si>
  <si>
    <t>1401/12/15</t>
  </si>
  <si>
    <t>1401/12/16</t>
  </si>
  <si>
    <t>1401/12/17</t>
  </si>
  <si>
    <t>1401/12/18</t>
  </si>
  <si>
    <t>1401/12/19</t>
  </si>
  <si>
    <t>1401/12/20</t>
  </si>
  <si>
    <t>1401/12/21</t>
  </si>
  <si>
    <t>1401/12/22</t>
  </si>
  <si>
    <t>1401/12/23</t>
  </si>
  <si>
    <t>1401/12/24</t>
  </si>
  <si>
    <t>1401/12/25</t>
  </si>
  <si>
    <t>1401/12/26</t>
  </si>
  <si>
    <t>1401/12/27</t>
  </si>
  <si>
    <t>1401/12/28</t>
  </si>
  <si>
    <t>1401/12/29</t>
  </si>
  <si>
    <t>1402/01/01</t>
  </si>
  <si>
    <t>1402/01/02</t>
  </si>
  <si>
    <t>1402/01/03</t>
  </si>
  <si>
    <t>1402/01/04</t>
  </si>
  <si>
    <t>1402/01/05</t>
  </si>
  <si>
    <t>1402/01/06</t>
  </si>
  <si>
    <t>1402/01/07</t>
  </si>
  <si>
    <t>1402/01/08</t>
  </si>
  <si>
    <t>1402/01/09</t>
  </si>
  <si>
    <t>1402/01/10</t>
  </si>
  <si>
    <t>1402/01/11</t>
  </si>
  <si>
    <t>1402/01/12</t>
  </si>
  <si>
    <t>1402/01/13</t>
  </si>
  <si>
    <t>1402/01/14</t>
  </si>
  <si>
    <t>1402/01/15</t>
  </si>
  <si>
    <t>1402/01/16</t>
  </si>
  <si>
    <t>1402/01/17</t>
  </si>
  <si>
    <t>1402/01/18</t>
  </si>
  <si>
    <t>1402/01/19</t>
  </si>
  <si>
    <t>1402/01/20</t>
  </si>
  <si>
    <t>1402/01/21</t>
  </si>
  <si>
    <t>1402/01/22</t>
  </si>
  <si>
    <t>1402/01/23</t>
  </si>
  <si>
    <t>1402/01/24</t>
  </si>
  <si>
    <t>1402/01/25</t>
  </si>
  <si>
    <t>1402/01/26</t>
  </si>
  <si>
    <t>1402/01/27</t>
  </si>
  <si>
    <t>1402/01/28</t>
  </si>
  <si>
    <t>1402/01/29</t>
  </si>
  <si>
    <t>1402/01/30</t>
  </si>
  <si>
    <t>1402/01/31</t>
  </si>
  <si>
    <t>1402/02/02</t>
  </si>
  <si>
    <t>جلالي عامري</t>
  </si>
  <si>
    <t>تقي</t>
  </si>
  <si>
    <t>مالمير</t>
  </si>
  <si>
    <t>صيامي</t>
  </si>
  <si>
    <t>علي زاده گلدياني</t>
  </si>
  <si>
    <t>شعبان دوست</t>
  </si>
  <si>
    <t>مختاري</t>
  </si>
  <si>
    <t>ابوالفضل</t>
  </si>
  <si>
    <t>اعرابيان</t>
  </si>
  <si>
    <t>مصطفوي</t>
  </si>
  <si>
    <t>اسحق</t>
  </si>
  <si>
    <t>رحيم</t>
  </si>
  <si>
    <t>جعفري</t>
  </si>
  <si>
    <t>قاسم</t>
  </si>
  <si>
    <t>امين</t>
  </si>
  <si>
    <t>اميني فر</t>
  </si>
  <si>
    <t>خسرو پور</t>
  </si>
  <si>
    <t>71542</t>
  </si>
  <si>
    <t>99883</t>
  </si>
  <si>
    <t>99769</t>
  </si>
  <si>
    <t>99843</t>
  </si>
  <si>
    <t>71863</t>
  </si>
  <si>
    <t>محمد‌نژاد</t>
  </si>
  <si>
    <t>لركي</t>
  </si>
  <si>
    <t>99825</t>
  </si>
  <si>
    <t>محمد علي</t>
  </si>
  <si>
    <t>سادين</t>
  </si>
  <si>
    <t>99696</t>
  </si>
  <si>
    <t>نجف نژاد</t>
  </si>
  <si>
    <t>99651</t>
  </si>
  <si>
    <t>استاد غلامي رضايي</t>
  </si>
  <si>
    <t>شيرمحمدي</t>
  </si>
  <si>
    <t>كريم اله دهكردي</t>
  </si>
  <si>
    <t>ياسر</t>
  </si>
  <si>
    <t>جعفرپور</t>
  </si>
  <si>
    <t>دشتي</t>
  </si>
  <si>
    <t>99447</t>
  </si>
  <si>
    <t>شكريان</t>
  </si>
  <si>
    <t>71159</t>
  </si>
  <si>
    <t>احسان</t>
  </si>
  <si>
    <t>بهبودي چناري</t>
  </si>
  <si>
    <t>پور قاسمي</t>
  </si>
  <si>
    <t>99224</t>
  </si>
  <si>
    <t>سعادتي</t>
  </si>
  <si>
    <t>72314</t>
  </si>
  <si>
    <t>مجيد</t>
  </si>
  <si>
    <t>زلفي</t>
  </si>
  <si>
    <t>97984</t>
  </si>
  <si>
    <t>فرخي</t>
  </si>
  <si>
    <t>71259</t>
  </si>
  <si>
    <t>98639</t>
  </si>
  <si>
    <t>71323</t>
  </si>
  <si>
    <t xml:space="preserve">محمد 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</si>
  <si>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</si>
  <si>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</si>
  <si>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</si>
  <si>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</si>
  <si>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</si>
  <si>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</si>
  <si>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</si>
  <si>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</si>
  <si>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</si>
  <si>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</si>
  <si>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</si>
  <si>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</si>
  <si>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</si>
  <si>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</si>
  <si>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</si>
  <si>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</si>
  <si>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</si>
  <si>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</si>
  <si>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</si>
  <si>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</si>
  <si>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</si>
  <si>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</si>
  <si>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</si>
  <si>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</si>
  <si>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</si>
  <si>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</si>
  <si>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</si>
  <si>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</si>
  <si>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</si>
  <si>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</si>
  <si>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</si>
  <si>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</si>
  <si>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</si>
  <si>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</si>
  <si>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</si>
  <si>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 ساعته</t>
  </si>
  <si>
    <t>rozshift</t>
  </si>
  <si>
    <t>off</t>
  </si>
  <si>
    <t>اميرحسين</t>
  </si>
  <si>
    <t>اميركياني</t>
  </si>
  <si>
    <t>احمدي</t>
  </si>
  <si>
    <t>رضايي امينلوئي</t>
  </si>
  <si>
    <t>99264</t>
  </si>
  <si>
    <t>چهار محالي</t>
  </si>
  <si>
    <t>جلال</t>
  </si>
  <si>
    <t>سعيدي تبريزي</t>
  </si>
  <si>
    <t>آجورلو</t>
  </si>
  <si>
    <t>خجسته گشتي</t>
  </si>
  <si>
    <t>ابراهیمی</t>
  </si>
  <si>
    <t>رحمان</t>
  </si>
  <si>
    <t>مددي</t>
  </si>
  <si>
    <t>122</t>
  </si>
  <si>
    <t>76722</t>
  </si>
  <si>
    <t>عادي</t>
  </si>
  <si>
    <t>1402/02/01</t>
  </si>
  <si>
    <t>1402/02/03</t>
  </si>
  <si>
    <t>1402/02/04</t>
  </si>
  <si>
    <t>1402/02/05</t>
  </si>
  <si>
    <t>1402/02/06</t>
  </si>
  <si>
    <t>1402/02/07</t>
  </si>
  <si>
    <t>1402/02/08</t>
  </si>
  <si>
    <t>1402/02/09</t>
  </si>
  <si>
    <t>1402/02/10</t>
  </si>
  <si>
    <t>1402/02/11</t>
  </si>
  <si>
    <t>1402/02/12</t>
  </si>
  <si>
    <t>1402/02/13</t>
  </si>
  <si>
    <t>1402/02/14</t>
  </si>
  <si>
    <t>1402/02/15</t>
  </si>
  <si>
    <t>1402/02/16</t>
  </si>
  <si>
    <t>1402/02/17</t>
  </si>
  <si>
    <t>1402/02/18</t>
  </si>
  <si>
    <t>1402/02/19</t>
  </si>
  <si>
    <t>1402/02/20</t>
  </si>
  <si>
    <t>1402/02/21</t>
  </si>
  <si>
    <t>1402/02/22</t>
  </si>
  <si>
    <t>1402/02/23</t>
  </si>
  <si>
    <t>1402/02/24</t>
  </si>
  <si>
    <t>1402/02/25</t>
  </si>
  <si>
    <t>1402/02/26</t>
  </si>
  <si>
    <t>1402/02/27</t>
  </si>
  <si>
    <t>1402/02/28</t>
  </si>
  <si>
    <t>1402/02/29</t>
  </si>
  <si>
    <t>1402/02/30</t>
  </si>
  <si>
    <t>1402/02/31</t>
  </si>
  <si>
    <t>1402/03/01</t>
  </si>
  <si>
    <t>1402/03/02</t>
  </si>
  <si>
    <t>1402/03/03</t>
  </si>
  <si>
    <t>1402/03/04</t>
  </si>
  <si>
    <t>1402/03/05</t>
  </si>
  <si>
    <t>1402/03/06</t>
  </si>
  <si>
    <t>1402/03/07</t>
  </si>
  <si>
    <t>1402/03/08</t>
  </si>
  <si>
    <t>1402/03/09</t>
  </si>
  <si>
    <t>1402/03/10</t>
  </si>
  <si>
    <t>1402/03/11</t>
  </si>
  <si>
    <t>1402/03/12</t>
  </si>
  <si>
    <t>1402/03/13</t>
  </si>
  <si>
    <t>1402/03/14</t>
  </si>
  <si>
    <t>1402/03/15</t>
  </si>
  <si>
    <t>1402/03/16</t>
  </si>
  <si>
    <t>1402/03/17</t>
  </si>
  <si>
    <t>1402/03/18</t>
  </si>
  <si>
    <t>1402/03/19</t>
  </si>
  <si>
    <t>1402/03/20</t>
  </si>
  <si>
    <t>1402/03/21</t>
  </si>
  <si>
    <t>1402/03/22</t>
  </si>
  <si>
    <t>1402/03/23</t>
  </si>
  <si>
    <t>1402/03/24</t>
  </si>
  <si>
    <t>1402/03/25</t>
  </si>
  <si>
    <t>1402/03/26</t>
  </si>
  <si>
    <t>1402/03/27</t>
  </si>
  <si>
    <t>1402/03/28</t>
  </si>
  <si>
    <t>1402/03/29</t>
  </si>
  <si>
    <t>1402/03/30</t>
  </si>
  <si>
    <t>1402/03/31</t>
  </si>
  <si>
    <t>1402/04/01</t>
  </si>
  <si>
    <t>1402/04/02</t>
  </si>
  <si>
    <t>1402/04/03</t>
  </si>
  <si>
    <t>1402/04/04</t>
  </si>
  <si>
    <t>1402/04/05</t>
  </si>
  <si>
    <t>1402/04/06</t>
  </si>
  <si>
    <t>1402/04/07</t>
  </si>
  <si>
    <t>1402/04/08</t>
  </si>
  <si>
    <t>1402/04/09</t>
  </si>
  <si>
    <t>1402/04/10</t>
  </si>
  <si>
    <t>1402/04/11</t>
  </si>
  <si>
    <t>1402/04/12</t>
  </si>
  <si>
    <t>1402/04/13</t>
  </si>
  <si>
    <t>1402/04/14</t>
  </si>
  <si>
    <t>1402/04/15</t>
  </si>
  <si>
    <t>1402/04/16</t>
  </si>
  <si>
    <t>1402/04/17</t>
  </si>
  <si>
    <t>1402/04/18</t>
  </si>
  <si>
    <t>1402/04/19</t>
  </si>
  <si>
    <t>1402/04/20</t>
  </si>
  <si>
    <t>1402/04/21</t>
  </si>
  <si>
    <t>1402/04/22</t>
  </si>
  <si>
    <t>1402/04/23</t>
  </si>
  <si>
    <t>1402/04/24</t>
  </si>
  <si>
    <t>1402/04/25</t>
  </si>
  <si>
    <t>1402/04/26</t>
  </si>
  <si>
    <t>1402/04/27</t>
  </si>
  <si>
    <t>1402/04/28</t>
  </si>
  <si>
    <t>1402/04/29</t>
  </si>
  <si>
    <t>1402/04/30</t>
  </si>
  <si>
    <t>1402/04/31</t>
  </si>
  <si>
    <t>1402/05/01</t>
  </si>
  <si>
    <t>1402/05/02</t>
  </si>
  <si>
    <t>1402/05/03</t>
  </si>
  <si>
    <t>1402/05/04</t>
  </si>
  <si>
    <t>1402/05/05</t>
  </si>
  <si>
    <t>1402/05/06</t>
  </si>
  <si>
    <t>1402/05/07</t>
  </si>
  <si>
    <t>1402/05/08</t>
  </si>
  <si>
    <t>1402/05/09</t>
  </si>
  <si>
    <t>1402/05/10</t>
  </si>
  <si>
    <t>1402/05/11</t>
  </si>
  <si>
    <t>1402/05/12</t>
  </si>
  <si>
    <t>1402/05/13</t>
  </si>
  <si>
    <t>1402/05/14</t>
  </si>
  <si>
    <t>1402/05/15</t>
  </si>
  <si>
    <t>1402/05/16</t>
  </si>
  <si>
    <t>1402/05/17</t>
  </si>
  <si>
    <t>1402/05/18</t>
  </si>
  <si>
    <t>1402/05/19</t>
  </si>
  <si>
    <t>1402/05/20</t>
  </si>
  <si>
    <t>1402/05/21</t>
  </si>
  <si>
    <t>1402/05/22</t>
  </si>
  <si>
    <t>1402/05/23</t>
  </si>
  <si>
    <t>1402/05/24</t>
  </si>
  <si>
    <t>1402/05/25</t>
  </si>
  <si>
    <t>1402/05/26</t>
  </si>
  <si>
    <t>1402/05/27</t>
  </si>
  <si>
    <t>1402/05/28</t>
  </si>
  <si>
    <t>1402/05/29</t>
  </si>
  <si>
    <t>1402/05/30</t>
  </si>
  <si>
    <t>1402/05/31</t>
  </si>
  <si>
    <t>1402/06/01</t>
  </si>
  <si>
    <t>1402/06/02</t>
  </si>
  <si>
    <t>1402/06/03</t>
  </si>
  <si>
    <t>1402/06/04</t>
  </si>
  <si>
    <t>1402/06/05</t>
  </si>
  <si>
    <t>1402/06/06</t>
  </si>
  <si>
    <t>1402/06/07</t>
  </si>
  <si>
    <t>1402/06/08</t>
  </si>
  <si>
    <t>1402/06/09</t>
  </si>
  <si>
    <t>1402/06/10</t>
  </si>
  <si>
    <t>1402/06/11</t>
  </si>
  <si>
    <t>1402/06/12</t>
  </si>
  <si>
    <t>1402/06/13</t>
  </si>
  <si>
    <t>1402/06/14</t>
  </si>
  <si>
    <t>1402/06/15</t>
  </si>
  <si>
    <t>1402/06/16</t>
  </si>
  <si>
    <t>1402/06/17</t>
  </si>
  <si>
    <t>1402/06/18</t>
  </si>
  <si>
    <t>1402/06/19</t>
  </si>
  <si>
    <t>1402/06/20</t>
  </si>
  <si>
    <t>1402/06/21</t>
  </si>
  <si>
    <t>1402/06/22</t>
  </si>
  <si>
    <t>1402/06/23</t>
  </si>
  <si>
    <t>1402/06/24</t>
  </si>
  <si>
    <t>1402/06/25</t>
  </si>
  <si>
    <t>1402/06/26</t>
  </si>
  <si>
    <t>1402/06/27</t>
  </si>
  <si>
    <t>1402/06/28</t>
  </si>
  <si>
    <t>1402/06/29</t>
  </si>
  <si>
    <t>1402/06/30</t>
  </si>
  <si>
    <t>1402/06/31</t>
  </si>
  <si>
    <t>1402/07/01</t>
  </si>
  <si>
    <t>1402/07/02</t>
  </si>
  <si>
    <t>1402/07/03</t>
  </si>
  <si>
    <t>1402/07/04</t>
  </si>
  <si>
    <t>1402/07/05</t>
  </si>
  <si>
    <t>1402/07/06</t>
  </si>
  <si>
    <t>1402/07/07</t>
  </si>
  <si>
    <t>1402/07/08</t>
  </si>
  <si>
    <t>1402/07/09</t>
  </si>
  <si>
    <t>1402/07/10</t>
  </si>
  <si>
    <t>1402/07/11</t>
  </si>
  <si>
    <t>1402/07/12</t>
  </si>
  <si>
    <t>1402/07/13</t>
  </si>
  <si>
    <t>1402/07/14</t>
  </si>
  <si>
    <t>1402/07/15</t>
  </si>
  <si>
    <t>1402/07/16</t>
  </si>
  <si>
    <t>1402/07/17</t>
  </si>
  <si>
    <t>1402/07/18</t>
  </si>
  <si>
    <t>1402/07/19</t>
  </si>
  <si>
    <t>1402/07/20</t>
  </si>
  <si>
    <t>1402/07/21</t>
  </si>
  <si>
    <t>1402/07/22</t>
  </si>
  <si>
    <t>1402/07/23</t>
  </si>
  <si>
    <t>1402/07/24</t>
  </si>
  <si>
    <t>1402/07/25</t>
  </si>
  <si>
    <t>1402/07/26</t>
  </si>
  <si>
    <t>1402/07/27</t>
  </si>
  <si>
    <t>1402/07/28</t>
  </si>
  <si>
    <t>1402/07/29</t>
  </si>
  <si>
    <t>1402/07/30</t>
  </si>
  <si>
    <t>1402/08/01</t>
  </si>
  <si>
    <t>1402/08/02</t>
  </si>
  <si>
    <t>1402/08/03</t>
  </si>
  <si>
    <t>1402/08/04</t>
  </si>
  <si>
    <t>1402/08/05</t>
  </si>
  <si>
    <t>1402/08/06</t>
  </si>
  <si>
    <t>1402/08/07</t>
  </si>
  <si>
    <t>1402/08/08</t>
  </si>
  <si>
    <t>1402/08/09</t>
  </si>
  <si>
    <t>1402/08/10</t>
  </si>
  <si>
    <t>1402/08/11</t>
  </si>
  <si>
    <t>1402/08/12</t>
  </si>
  <si>
    <t>1402/08/13</t>
  </si>
  <si>
    <t>1402/08/14</t>
  </si>
  <si>
    <t>1402/08/15</t>
  </si>
  <si>
    <t>1402/08/16</t>
  </si>
  <si>
    <t>1402/08/17</t>
  </si>
  <si>
    <t>1402/08/18</t>
  </si>
  <si>
    <t>1402/08/19</t>
  </si>
  <si>
    <t>1402/08/20</t>
  </si>
  <si>
    <t>1402/08/21</t>
  </si>
  <si>
    <t>1402/08/22</t>
  </si>
  <si>
    <t>1402/08/23</t>
  </si>
  <si>
    <t>1402/08/24</t>
  </si>
  <si>
    <t>1402/08/25</t>
  </si>
  <si>
    <t>1402/08/26</t>
  </si>
  <si>
    <t>1402/08/27</t>
  </si>
  <si>
    <t>1402/08/28</t>
  </si>
  <si>
    <t>1402/08/29</t>
  </si>
  <si>
    <t>1402/08/30</t>
  </si>
  <si>
    <t>1402/09/01</t>
  </si>
  <si>
    <t>1402/09/02</t>
  </si>
  <si>
    <t>1402/09/03</t>
  </si>
  <si>
    <t>1402/09/04</t>
  </si>
  <si>
    <t>1402/09/05</t>
  </si>
  <si>
    <t>1402/09/06</t>
  </si>
  <si>
    <t>1402/09/07</t>
  </si>
  <si>
    <t>1402/09/08</t>
  </si>
  <si>
    <t>1402/09/09</t>
  </si>
  <si>
    <t>1402/09/10</t>
  </si>
  <si>
    <t>1402/09/11</t>
  </si>
  <si>
    <t>1402/09/12</t>
  </si>
  <si>
    <t>1402/09/13</t>
  </si>
  <si>
    <t>1402/09/14</t>
  </si>
  <si>
    <t>1402/09/15</t>
  </si>
  <si>
    <t>1402/09/16</t>
  </si>
  <si>
    <t>1402/09/17</t>
  </si>
  <si>
    <t>1402/09/18</t>
  </si>
  <si>
    <t>1402/09/19</t>
  </si>
  <si>
    <t>1402/09/20</t>
  </si>
  <si>
    <t>1402/09/21</t>
  </si>
  <si>
    <t>1402/09/22</t>
  </si>
  <si>
    <t>1402/09/23</t>
  </si>
  <si>
    <t>1402/09/24</t>
  </si>
  <si>
    <t>1402/09/25</t>
  </si>
  <si>
    <t>1402/09/26</t>
  </si>
  <si>
    <t>1402/09/27</t>
  </si>
  <si>
    <t>1402/09/28</t>
  </si>
  <si>
    <t>1402/09/29</t>
  </si>
  <si>
    <t>1402/09/30</t>
  </si>
  <si>
    <t>1402/10/01</t>
  </si>
  <si>
    <t>1402/10/02</t>
  </si>
  <si>
    <t>1402/10/03</t>
  </si>
  <si>
    <t>1402/10/04</t>
  </si>
  <si>
    <t>1402/10/05</t>
  </si>
  <si>
    <t>1402/10/06</t>
  </si>
  <si>
    <t>1402/10/07</t>
  </si>
  <si>
    <t>1402/10/08</t>
  </si>
  <si>
    <t>1402/10/09</t>
  </si>
  <si>
    <t>1402/10/10</t>
  </si>
  <si>
    <t>1402/10/11</t>
  </si>
  <si>
    <t>1402/10/12</t>
  </si>
  <si>
    <t>1402/10/13</t>
  </si>
  <si>
    <t>1402/10/14</t>
  </si>
  <si>
    <t>1402/10/15</t>
  </si>
  <si>
    <t>1402/10/16</t>
  </si>
  <si>
    <t>1402/10/17</t>
  </si>
  <si>
    <t>1402/10/18</t>
  </si>
  <si>
    <t>1402/10/19</t>
  </si>
  <si>
    <t>1402/10/20</t>
  </si>
  <si>
    <t>1402/10/21</t>
  </si>
  <si>
    <t>1402/10/22</t>
  </si>
  <si>
    <t>1402/10/23</t>
  </si>
  <si>
    <t>1402/10/24</t>
  </si>
  <si>
    <t>1402/10/25</t>
  </si>
  <si>
    <t>1402/10/26</t>
  </si>
  <si>
    <t>1402/10/27</t>
  </si>
  <si>
    <t>1402/10/28</t>
  </si>
  <si>
    <t>1402/10/29</t>
  </si>
  <si>
    <t>1402/10/30</t>
  </si>
  <si>
    <t>1402/11/01</t>
  </si>
  <si>
    <t>1402/11/02</t>
  </si>
  <si>
    <t>1402/11/03</t>
  </si>
  <si>
    <t>1402/11/04</t>
  </si>
  <si>
    <t>1402/11/05</t>
  </si>
  <si>
    <t>1402/11/06</t>
  </si>
  <si>
    <t>1402/11/07</t>
  </si>
  <si>
    <t>1402/11/08</t>
  </si>
  <si>
    <t>1402/11/09</t>
  </si>
  <si>
    <t>1402/11/10</t>
  </si>
  <si>
    <t>1402/11/11</t>
  </si>
  <si>
    <t>1402/11/12</t>
  </si>
  <si>
    <t>1402/11/13</t>
  </si>
  <si>
    <t>1402/11/14</t>
  </si>
  <si>
    <t>1402/11/15</t>
  </si>
  <si>
    <t>1402/11/16</t>
  </si>
  <si>
    <t>1402/11/17</t>
  </si>
  <si>
    <t>1402/11/18</t>
  </si>
  <si>
    <t>1402/11/19</t>
  </si>
  <si>
    <t>1402/11/20</t>
  </si>
  <si>
    <t>1402/11/21</t>
  </si>
  <si>
    <t>1402/11/22</t>
  </si>
  <si>
    <t>1402/11/23</t>
  </si>
  <si>
    <t>1402/11/24</t>
  </si>
  <si>
    <t>1402/11/25</t>
  </si>
  <si>
    <t>1402/11/26</t>
  </si>
  <si>
    <t>1402/11/27</t>
  </si>
  <si>
    <t>1402/11/28</t>
  </si>
  <si>
    <t>1402/11/29</t>
  </si>
  <si>
    <t>1402/11/30</t>
  </si>
  <si>
    <t>1402/12/01</t>
  </si>
  <si>
    <t>1402/12/02</t>
  </si>
  <si>
    <t>1402/12/03</t>
  </si>
  <si>
    <t>1402/12/04</t>
  </si>
  <si>
    <t>1402/12/05</t>
  </si>
  <si>
    <t>1402/12/06</t>
  </si>
  <si>
    <t>1402/12/07</t>
  </si>
  <si>
    <t>1402/12/08</t>
  </si>
  <si>
    <t>1402/12/09</t>
  </si>
  <si>
    <t>1402/12/10</t>
  </si>
  <si>
    <t>1402/12/11</t>
  </si>
  <si>
    <t>1402/12/12</t>
  </si>
  <si>
    <t>1402/12/13</t>
  </si>
  <si>
    <t>1402/12/14</t>
  </si>
  <si>
    <t>1402/12/15</t>
  </si>
  <si>
    <t>1402/12/16</t>
  </si>
  <si>
    <t>1402/12/17</t>
  </si>
  <si>
    <t>1402/12/18</t>
  </si>
  <si>
    <t>1402/12/19</t>
  </si>
  <si>
    <t>1402/12/20</t>
  </si>
  <si>
    <t>1402/12/21</t>
  </si>
  <si>
    <t>1402/12/22</t>
  </si>
  <si>
    <t>1402/12/23</t>
  </si>
  <si>
    <t>1402/12/24</t>
  </si>
  <si>
    <t>1402/12/25</t>
  </si>
  <si>
    <t>1402/12/26</t>
  </si>
  <si>
    <t>1402/12/27</t>
  </si>
  <si>
    <t>1402/12/28</t>
  </si>
  <si>
    <t>1402/12/29</t>
  </si>
  <si>
    <t>يكشنبه</t>
  </si>
  <si>
    <t>سه شنبه</t>
  </si>
  <si>
    <t>1403/01/01</t>
  </si>
  <si>
    <t>شورگشتي</t>
  </si>
  <si>
    <t>Reverse Lohe.xlsm</t>
  </si>
  <si>
    <t>21:20</t>
  </si>
  <si>
    <t>06:15</t>
  </si>
  <si>
    <t>06:45</t>
  </si>
  <si>
    <t>07:15</t>
  </si>
  <si>
    <t>07:45</t>
  </si>
  <si>
    <t>08:15</t>
  </si>
  <si>
    <t>08:45</t>
  </si>
  <si>
    <t>1403/01/02</t>
  </si>
  <si>
    <t>1403/01/03</t>
  </si>
  <si>
    <t>1403/01/04</t>
  </si>
  <si>
    <t>1403/01/05</t>
  </si>
  <si>
    <t>1403/01/06</t>
  </si>
  <si>
    <t>1403/01/07</t>
  </si>
  <si>
    <t>1403/01/08</t>
  </si>
  <si>
    <t>1403/01/09</t>
  </si>
  <si>
    <t>1403/01/10</t>
  </si>
  <si>
    <t>1403/01/11</t>
  </si>
  <si>
    <t>1403/01/12</t>
  </si>
  <si>
    <t>1403/01/13</t>
  </si>
  <si>
    <t>1403/01/14</t>
  </si>
  <si>
    <t>1403/01/15</t>
  </si>
  <si>
    <t>1403/01/16</t>
  </si>
  <si>
    <t>1403/01/17</t>
  </si>
  <si>
    <t>1403/01/18</t>
  </si>
  <si>
    <t>1403/01/19</t>
  </si>
  <si>
    <t>1403/01/20</t>
  </si>
  <si>
    <t>1403/01/21</t>
  </si>
  <si>
    <t>1403/01/22</t>
  </si>
  <si>
    <t>1403/01/23</t>
  </si>
  <si>
    <t>1403/01/24</t>
  </si>
  <si>
    <t>1403/01/25</t>
  </si>
  <si>
    <t>1403/01/26</t>
  </si>
  <si>
    <t>1403/01/27</t>
  </si>
  <si>
    <t>1403/01/28</t>
  </si>
  <si>
    <t>1403/01/29</t>
  </si>
  <si>
    <t>1403/01/30</t>
  </si>
  <si>
    <t>1403/01/31</t>
  </si>
  <si>
    <t>1403/02/01</t>
  </si>
  <si>
    <t>1403/02/02</t>
  </si>
  <si>
    <t>1403/02/03</t>
  </si>
  <si>
    <t>1403/02/04</t>
  </si>
  <si>
    <t>1403/02/05</t>
  </si>
  <si>
    <t>1403/02/06</t>
  </si>
  <si>
    <t>1403/02/07</t>
  </si>
  <si>
    <t>1403/02/08</t>
  </si>
  <si>
    <t>1403/02/09</t>
  </si>
  <si>
    <t>1403/02/10</t>
  </si>
  <si>
    <t>1403/02/11</t>
  </si>
  <si>
    <t>1403/02/12</t>
  </si>
  <si>
    <t>1403/02/13</t>
  </si>
  <si>
    <t>1403/02/14</t>
  </si>
  <si>
    <t>1403/02/15</t>
  </si>
  <si>
    <t>1403/02/16</t>
  </si>
  <si>
    <t>1403/02/17</t>
  </si>
  <si>
    <t>1403/02/18</t>
  </si>
  <si>
    <t>1403/02/19</t>
  </si>
  <si>
    <t>1403/02/20</t>
  </si>
  <si>
    <t>1403/02/21</t>
  </si>
  <si>
    <t>1403/02/22</t>
  </si>
  <si>
    <t>1403/02/23</t>
  </si>
  <si>
    <t>1403/02/24</t>
  </si>
  <si>
    <t>1403/02/25</t>
  </si>
  <si>
    <t>1403/02/26</t>
  </si>
  <si>
    <t>1403/02/27</t>
  </si>
  <si>
    <t>1403/02/28</t>
  </si>
  <si>
    <t>1403/02/29</t>
  </si>
  <si>
    <t>1403/02/30</t>
  </si>
  <si>
    <t>1403/02/31</t>
  </si>
  <si>
    <t>1403/03/01</t>
  </si>
  <si>
    <t>1403/03/02</t>
  </si>
  <si>
    <t>1403/03/03</t>
  </si>
  <si>
    <t>1403/03/04</t>
  </si>
  <si>
    <t>1403/03/05</t>
  </si>
  <si>
    <t>1403/03/06</t>
  </si>
  <si>
    <t>1403/03/07</t>
  </si>
  <si>
    <t>1403/03/08</t>
  </si>
  <si>
    <t>1403/03/09</t>
  </si>
  <si>
    <t>1403/03/10</t>
  </si>
  <si>
    <t>1403/03/11</t>
  </si>
  <si>
    <t>1403/03/12</t>
  </si>
  <si>
    <t>1403/03/13</t>
  </si>
  <si>
    <t>1403/03/14</t>
  </si>
  <si>
    <t>1403/03/15</t>
  </si>
  <si>
    <t>1403/03/16</t>
  </si>
  <si>
    <t>1403/03/17</t>
  </si>
  <si>
    <t>1403/03/18</t>
  </si>
  <si>
    <t>1403/03/19</t>
  </si>
  <si>
    <t>1403/03/20</t>
  </si>
  <si>
    <t>1403/03/21</t>
  </si>
  <si>
    <t>1403/03/22</t>
  </si>
  <si>
    <t>1403/03/23</t>
  </si>
  <si>
    <t>1403/03/24</t>
  </si>
  <si>
    <t>1403/03/25</t>
  </si>
  <si>
    <t>1403/03/26</t>
  </si>
  <si>
    <t>1403/03/27</t>
  </si>
  <si>
    <t>1403/03/28</t>
  </si>
  <si>
    <t>1403/03/29</t>
  </si>
  <si>
    <t>1403/03/30</t>
  </si>
  <si>
    <t>1403/03/31</t>
  </si>
  <si>
    <t>1403/04/01</t>
  </si>
  <si>
    <t>1403/04/02</t>
  </si>
  <si>
    <t>1403/04/03</t>
  </si>
  <si>
    <t>1403/04/04</t>
  </si>
  <si>
    <t>1403/04/05</t>
  </si>
  <si>
    <t>1403/04/06</t>
  </si>
  <si>
    <t>1403/04/07</t>
  </si>
  <si>
    <t>1403/04/08</t>
  </si>
  <si>
    <t>1403/04/09</t>
  </si>
  <si>
    <t>1403/04/10</t>
  </si>
  <si>
    <t>1403/04/11</t>
  </si>
  <si>
    <t>1403/04/12</t>
  </si>
  <si>
    <t>1403/04/13</t>
  </si>
  <si>
    <t>1403/04/14</t>
  </si>
  <si>
    <t>1403/04/15</t>
  </si>
  <si>
    <t>1403/04/16</t>
  </si>
  <si>
    <t>1403/04/17</t>
  </si>
  <si>
    <t>1403/04/18</t>
  </si>
  <si>
    <t>1403/04/19</t>
  </si>
  <si>
    <t>1403/04/20</t>
  </si>
  <si>
    <t>1403/04/21</t>
  </si>
  <si>
    <t>1403/04/22</t>
  </si>
  <si>
    <t>1403/04/23</t>
  </si>
  <si>
    <t>1403/04/24</t>
  </si>
  <si>
    <t>1403/04/25</t>
  </si>
  <si>
    <t>1403/04/26</t>
  </si>
  <si>
    <t>1403/04/27</t>
  </si>
  <si>
    <t>1403/04/28</t>
  </si>
  <si>
    <t>1403/04/29</t>
  </si>
  <si>
    <t>1403/04/30</t>
  </si>
  <si>
    <t>1403/04/31</t>
  </si>
  <si>
    <t>1403/05/01</t>
  </si>
  <si>
    <t>1403/05/02</t>
  </si>
  <si>
    <t>1403/05/03</t>
  </si>
  <si>
    <t>1403/05/04</t>
  </si>
  <si>
    <t>1403/05/05</t>
  </si>
  <si>
    <t>1403/05/06</t>
  </si>
  <si>
    <t>1403/05/07</t>
  </si>
  <si>
    <t>1403/05/08</t>
  </si>
  <si>
    <t>1403/05/09</t>
  </si>
  <si>
    <t>1403/05/10</t>
  </si>
  <si>
    <t>1403/05/11</t>
  </si>
  <si>
    <t>1403/05/12</t>
  </si>
  <si>
    <t>1403/05/13</t>
  </si>
  <si>
    <t>1403/05/14</t>
  </si>
  <si>
    <t>1403/05/15</t>
  </si>
  <si>
    <t>1403/05/16</t>
  </si>
  <si>
    <t>1403/05/17</t>
  </si>
  <si>
    <t>1403/05/18</t>
  </si>
  <si>
    <t>1403/05/19</t>
  </si>
  <si>
    <t>1403/05/20</t>
  </si>
  <si>
    <t>1403/05/21</t>
  </si>
  <si>
    <t>1403/05/22</t>
  </si>
  <si>
    <t>1403/05/23</t>
  </si>
  <si>
    <t>1403/05/24</t>
  </si>
  <si>
    <t>1403/05/25</t>
  </si>
  <si>
    <t>1403/05/26</t>
  </si>
  <si>
    <t>1403/05/27</t>
  </si>
  <si>
    <t>1403/05/28</t>
  </si>
  <si>
    <t>1403/05/29</t>
  </si>
  <si>
    <t>1403/05/30</t>
  </si>
  <si>
    <t>1403/05/31</t>
  </si>
  <si>
    <t>1403/06/01</t>
  </si>
  <si>
    <t>1403/06/02</t>
  </si>
  <si>
    <t>1403/06/03</t>
  </si>
  <si>
    <t>1403/06/04</t>
  </si>
  <si>
    <t>1403/06/05</t>
  </si>
  <si>
    <t>1403/06/06</t>
  </si>
  <si>
    <t>1403/06/07</t>
  </si>
  <si>
    <t>1403/06/08</t>
  </si>
  <si>
    <t>1403/06/09</t>
  </si>
  <si>
    <t>1403/06/10</t>
  </si>
  <si>
    <t>1403/06/11</t>
  </si>
  <si>
    <t>1403/06/12</t>
  </si>
  <si>
    <t>1403/06/13</t>
  </si>
  <si>
    <t>1403/06/14</t>
  </si>
  <si>
    <t>1403/06/15</t>
  </si>
  <si>
    <t>1403/06/16</t>
  </si>
  <si>
    <t>1403/06/17</t>
  </si>
  <si>
    <t>1403/06/18</t>
  </si>
  <si>
    <t>1403/06/19</t>
  </si>
  <si>
    <t>1403/06/20</t>
  </si>
  <si>
    <t>1403/06/21</t>
  </si>
  <si>
    <t>1403/06/22</t>
  </si>
  <si>
    <t>1403/06/23</t>
  </si>
  <si>
    <t>1403/06/24</t>
  </si>
  <si>
    <t>1403/06/25</t>
  </si>
  <si>
    <t>1403/06/26</t>
  </si>
  <si>
    <t>1403/06/27</t>
  </si>
  <si>
    <t>1403/06/28</t>
  </si>
  <si>
    <t>1403/06/29</t>
  </si>
  <si>
    <t>1403/06/30</t>
  </si>
  <si>
    <t>1403/06/31</t>
  </si>
  <si>
    <t>1403/07/01</t>
  </si>
  <si>
    <t>جليلوند</t>
  </si>
  <si>
    <t>قياسوند</t>
  </si>
  <si>
    <t>روحي پور ميكال</t>
  </si>
  <si>
    <t>اردوخاني</t>
  </si>
  <si>
    <t>رسولي صادقي</t>
  </si>
  <si>
    <t>اشجاري گنجه</t>
  </si>
  <si>
    <t>حسينعلي زاده</t>
  </si>
  <si>
    <t>هوشنگ</t>
  </si>
  <si>
    <t>محمد پور سلامي</t>
  </si>
  <si>
    <t>محمدعلي</t>
  </si>
  <si>
    <t>سيدمهدي</t>
  </si>
  <si>
    <t>اليكاهي</t>
  </si>
  <si>
    <t>77229</t>
  </si>
  <si>
    <t>هامون</t>
  </si>
  <si>
    <t>بهرامي</t>
  </si>
  <si>
    <t>سيد حامد</t>
  </si>
  <si>
    <t>آرين مهر</t>
  </si>
  <si>
    <t>99374</t>
  </si>
  <si>
    <t>99384</t>
  </si>
  <si>
    <t>ايواني</t>
  </si>
  <si>
    <t>71641</t>
  </si>
  <si>
    <t>محمديان آسيابر</t>
  </si>
  <si>
    <t>78988</t>
  </si>
  <si>
    <t>71347</t>
  </si>
  <si>
    <t>جمشيدي مقدم</t>
  </si>
  <si>
    <t>71536</t>
  </si>
  <si>
    <t>سيدمرتضي</t>
  </si>
  <si>
    <t>حميد پور ديزج</t>
  </si>
  <si>
    <t>ايمان</t>
  </si>
  <si>
    <t>پورعبداله گرمجاني</t>
  </si>
  <si>
    <t>فرجي سجهرود</t>
  </si>
  <si>
    <t>سيدداود</t>
  </si>
  <si>
    <t>ميرنادر</t>
  </si>
  <si>
    <t>مزدك</t>
  </si>
  <si>
    <t>مهرآئين شلماني</t>
  </si>
  <si>
    <t>شهرام</t>
  </si>
  <si>
    <t>چايچي نصرتي</t>
  </si>
  <si>
    <t>فرشاد</t>
  </si>
  <si>
    <t>بازگير</t>
  </si>
  <si>
    <t>عظيمي راويز</t>
  </si>
  <si>
    <t>99</t>
  </si>
  <si>
    <t>123</t>
  </si>
  <si>
    <t>11111</t>
  </si>
  <si>
    <t>حاجي پورسرابي</t>
  </si>
  <si>
    <t>قاسم لو</t>
  </si>
  <si>
    <t>Dashti Hosein</t>
  </si>
  <si>
    <t>نصيري</t>
  </si>
  <si>
    <t>يوسف</t>
  </si>
  <si>
    <t>قجري</t>
  </si>
  <si>
    <t>10 ساعته</t>
  </si>
  <si>
    <t>t</t>
  </si>
  <si>
    <t>111111</t>
  </si>
  <si>
    <t>C:\Users\h_dashti\Documents\اوليه 28.xls</t>
  </si>
  <si>
    <t>اوليه 28.xls</t>
  </si>
  <si>
    <t>لوحه ساز نرم افزار سير و اعزام.xlsm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</si>
</sst>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;#,##0\-"/>
    <numFmt numFmtId="165" formatCode="[$-960429]yyyy/mm/dd;@"/>
    <numFmt numFmtId="166" formatCode="0;[Red]0"/>
    <numFmt numFmtId="167" formatCode="[$-F800]dddd\,\ mmmm\ dd\,\ yyyy"/>
  </numFmts>
  <fonts count="59" x14ac:knownFonts="1">
    <font>
      <sz val="11"/>
      <color theme="1"/>
      <name val="Calibri"/>
      <family val="2"/>
      <charset val="178"/>
      <scheme val="minor"/>
    </font>
    <font>
      <sz val="10"/>
      <color theme="1"/>
      <name val="Calibri"/>
      <family val="2"/>
      <charset val="178"/>
      <scheme val="minor"/>
    </font>
    <font>
      <sz val="10"/>
      <color theme="1"/>
      <name val="B Nazanin"/>
      <charset val="178"/>
    </font>
    <font>
      <sz val="8"/>
      <color theme="1"/>
      <name val="B Nazanin"/>
      <charset val="178"/>
    </font>
    <font>
      <sz val="8"/>
      <color theme="1"/>
      <name val="Calibri"/>
      <family val="2"/>
      <charset val="178"/>
      <scheme val="minor"/>
    </font>
    <font>
      <sz val="10"/>
      <color rgb="FF000000"/>
      <name val="Arial"/>
      <family val="2"/>
    </font>
    <font>
      <b/>
      <sz val="11"/>
      <color theme="1"/>
      <name val="B Zar"/>
      <charset val="178"/>
    </font>
    <font>
      <b/>
      <sz val="10"/>
      <color rgb="FF000000"/>
      <name val="B Zar"/>
      <charset val="178"/>
    </font>
    <font>
      <b/>
      <sz val="9"/>
      <color rgb="FF000000"/>
      <name val="B Zar"/>
      <charset val="178"/>
    </font>
    <font>
      <sz val="7"/>
      <color theme="1"/>
      <name val="Calibri"/>
      <family val="2"/>
      <charset val="178"/>
      <scheme val="minor"/>
    </font>
    <font>
      <sz val="6"/>
      <color theme="1"/>
      <name val="B Nazanin"/>
      <charset val="178"/>
    </font>
    <font>
      <sz val="11"/>
      <color theme="1"/>
      <name val="Calibri"/>
      <family val="2"/>
      <charset val="178"/>
      <scheme val="minor"/>
    </font>
    <font>
      <sz val="10"/>
      <color theme="1"/>
      <name val="Tahoma"/>
      <family val="2"/>
    </font>
    <font>
      <sz val="9"/>
      <color theme="1"/>
      <name val="Tahoma"/>
      <family val="2"/>
    </font>
    <font>
      <b/>
      <sz val="11"/>
      <color theme="0"/>
      <name val="B Zar"/>
      <charset val="178"/>
    </font>
    <font>
      <b/>
      <sz val="10"/>
      <color theme="1"/>
      <name val="Tahoma"/>
      <family val="2"/>
    </font>
    <font>
      <sz val="9"/>
      <color theme="1"/>
      <name val="B Nazanin"/>
      <charset val="178"/>
    </font>
    <font>
      <sz val="5"/>
      <color theme="1"/>
      <name val="Calibri"/>
      <family val="2"/>
      <charset val="178"/>
      <scheme val="minor"/>
    </font>
    <font>
      <sz val="9"/>
      <color theme="0"/>
      <name val="Tahoma"/>
      <family val="2"/>
    </font>
    <font>
      <sz val="9"/>
      <color theme="4"/>
      <name val="Tahoma"/>
      <family val="2"/>
    </font>
    <font>
      <b/>
      <sz val="14"/>
      <color theme="0"/>
      <name val="B Nazanin"/>
      <charset val="178"/>
    </font>
    <font>
      <sz val="10"/>
      <color theme="1"/>
      <name val="B Yekan"/>
      <charset val="178"/>
    </font>
    <font>
      <sz val="12"/>
      <color theme="1"/>
      <name val="Calibri"/>
      <family val="2"/>
      <charset val="178"/>
      <scheme val="minor"/>
    </font>
    <font>
      <b/>
      <sz val="11"/>
      <color theme="3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Yekan"/>
      <charset val="178"/>
    </font>
    <font>
      <sz val="9"/>
      <color theme="1"/>
      <name val="Calibri"/>
      <family val="2"/>
      <charset val="178"/>
      <scheme val="minor"/>
    </font>
    <font>
      <b/>
      <sz val="10"/>
      <color theme="3"/>
      <name val="B Nazanin"/>
      <charset val="178"/>
    </font>
    <font>
      <sz val="10"/>
      <color theme="1"/>
      <name val="B Titr"/>
      <charset val="178"/>
    </font>
    <font>
      <b/>
      <sz val="14"/>
      <color rgb="FFFF0000"/>
      <name val="Arial"/>
      <family val="2"/>
    </font>
    <font>
      <b/>
      <sz val="14"/>
      <color rgb="FF0070C0"/>
      <name val="Arial"/>
      <family val="2"/>
    </font>
    <font>
      <sz val="11"/>
      <color theme="1"/>
      <name val="Tahoma"/>
      <family val="2"/>
    </font>
    <font>
      <sz val="11"/>
      <color theme="0"/>
      <name val="Times New Roman"/>
      <family val="1"/>
    </font>
    <font>
      <sz val="8"/>
      <name val="Calibri"/>
      <family val="2"/>
      <charset val="178"/>
      <scheme val="minor"/>
    </font>
    <font>
      <sz val="11"/>
      <name val="Calibri"/>
      <family val="2"/>
      <charset val="178"/>
      <scheme val="minor"/>
    </font>
    <font>
      <sz val="7"/>
      <color theme="1"/>
      <name val="B Nazanin"/>
      <charset val="178"/>
    </font>
    <font>
      <sz val="14"/>
      <color theme="0"/>
      <name val="B Zar"/>
      <charset val="178"/>
    </font>
    <font>
      <sz val="9"/>
      <name val="B Yekan"/>
      <charset val="178"/>
    </font>
    <font>
      <sz val="9"/>
      <name val="Tahoma"/>
      <family val="2"/>
    </font>
    <font>
      <sz val="9"/>
      <name val="B Nazanin"/>
      <charset val="178"/>
    </font>
    <font>
      <sz val="8"/>
      <name val="B Nazanin"/>
      <charset val="178"/>
    </font>
    <font>
      <i/>
      <sz val="8"/>
      <name val="B Nazanin"/>
      <charset val="178"/>
    </font>
    <font>
      <sz val="10"/>
      <name val="B Yekan"/>
      <charset val="178"/>
    </font>
    <font>
      <sz val="10"/>
      <color theme="1"/>
      <name val="Tahoma"/>
    </font>
    <font>
      <sz val="10"/>
      <color indexed="8"/>
      <name val="Tahoma"/>
      <charset val="1"/>
    </font>
    <font>
      <sz val="9"/>
      <color indexed="8"/>
      <name val="Tahoma"/>
      <charset val="1"/>
    </font>
    <font>
      <b/>
      <sz val="12"/>
      <color indexed="8"/>
      <name val="Tahoma"/>
      <charset val="1"/>
    </font>
    <font>
      <i/>
      <sz val="8"/>
      <color theme="0"/>
      <name val="B Nazanin"/>
      <charset val="178"/>
    </font>
    <font>
      <sz val="10"/>
      <color indexed="8"/>
      <name val="Tahoma"/>
      <family val="2"/>
    </font>
    <font>
      <sz val="9"/>
      <color indexed="8"/>
      <name val="Tahoma"/>
      <family val="2"/>
    </font>
    <font>
      <b/>
      <sz val="12"/>
      <color indexed="8"/>
      <name val="Tahoma"/>
      <family val="2"/>
    </font>
    <font>
      <sz val="9"/>
      <color indexed="8"/>
      <name val="Arial"/>
      <family val="2"/>
    </font>
    <font>
      <sz val="9"/>
      <color theme="3" tint="4.9989318521683403E-2"/>
      <name val="B Nazanin"/>
      <charset val="178"/>
    </font>
    <font>
      <sz val="11"/>
      <color theme="0" tint="-0.34998626667073579"/>
      <name val="Calibri"/>
      <family val="2"/>
      <charset val="178"/>
      <scheme val="minor"/>
    </font>
    <font>
      <sz val="11"/>
      <color theme="0" tint="-0.34998626667073579"/>
      <name val="Times New Roman"/>
      <family val="1"/>
    </font>
    <font>
      <sz val="9"/>
      <color theme="0" tint="-0.34998626667073579"/>
      <name val="B Nazanin"/>
      <charset val="178"/>
    </font>
    <font>
      <sz val="8"/>
      <color theme="0" tint="-0.34998626667073579"/>
      <name val="B Nazanin"/>
      <charset val="178"/>
    </font>
    <font>
      <sz val="6"/>
      <color theme="0" tint="-0.34998626667073579"/>
      <name val="Tahoma"/>
      <family val="2"/>
    </font>
    <font>
      <sz val="9"/>
      <color indexed="8"/>
      <name val="B Yekan"/>
      <charset val="178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4" tint="0.59999389629810485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5999938962981048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theme="4" tint="0.59999389629810485"/>
      </patternFill>
    </fill>
    <fill>
      <patternFill patternType="solid">
        <fgColor theme="4" tint="0.39997558519241921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FF00"/>
        <bgColor theme="4" tint="0.59999389629810485"/>
      </patternFill>
    </fill>
    <fill>
      <patternFill patternType="solid">
        <fgColor theme="0" tint="-0.499984740745262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theme="4"/>
      </left>
      <right style="dotted">
        <color theme="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tted">
        <color theme="4"/>
      </left>
      <right style="dotted">
        <color theme="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theme="4"/>
      </left>
      <right style="dotted">
        <color theme="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otted">
        <color theme="4"/>
      </left>
      <right style="dotted">
        <color theme="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 style="medium">
        <color indexed="64"/>
      </bottom>
      <diagonal/>
    </border>
    <border>
      <left style="dotted">
        <color auto="1"/>
      </left>
      <right style="dotted">
        <color auto="1"/>
      </right>
      <top/>
      <bottom style="medium">
        <color indexed="64"/>
      </bottom>
      <diagonal/>
    </border>
    <border>
      <left style="dotted">
        <color auto="1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medium">
        <color indexed="64"/>
      </top>
      <bottom style="medium">
        <color indexed="64"/>
      </bottom>
      <diagonal/>
    </border>
    <border>
      <left style="dotted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theme="6" tint="-0.24994659260841701"/>
      </left>
      <right style="dashed">
        <color theme="6" tint="-0.24994659260841701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medium">
        <color indexed="64"/>
      </top>
      <bottom/>
      <diagonal/>
    </border>
    <border>
      <left style="dotted">
        <color auto="1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ashed">
        <color theme="6" tint="-0.24994659260841701"/>
      </left>
      <right style="dashed">
        <color theme="6" tint="-0.2499465926084170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otted">
        <color theme="4"/>
      </left>
      <right style="dotted">
        <color theme="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5">
    <xf numFmtId="0" fontId="0" fillId="0" borderId="0"/>
    <xf numFmtId="0" fontId="5" fillId="0" borderId="0"/>
    <xf numFmtId="0" fontId="5" fillId="0" borderId="0"/>
    <xf numFmtId="0" fontId="5" fillId="0" borderId="0"/>
    <xf numFmtId="0" fontId="5" fillId="0" borderId="0"/>
  </cellStyleXfs>
  <cellXfs count="26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textRotation="90"/>
    </xf>
    <xf numFmtId="20" fontId="4" fillId="0" borderId="5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 vertical="center" textRotation="90"/>
    </xf>
    <xf numFmtId="0" fontId="0" fillId="0" borderId="0" xfId="0" applyAlignment="1">
      <alignment vertical="top"/>
    </xf>
    <xf numFmtId="0" fontId="1" fillId="0" borderId="0" xfId="0" applyFont="1" applyAlignment="1">
      <alignment horizontal="center" vertical="center" wrapText="1"/>
    </xf>
    <xf numFmtId="20" fontId="4" fillId="0" borderId="0" xfId="0" applyNumberFormat="1" applyFont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textRotation="90"/>
    </xf>
    <xf numFmtId="0" fontId="3" fillId="2" borderId="3" xfId="0" applyFont="1" applyFill="1" applyBorder="1" applyAlignment="1">
      <alignment horizontal="center" vertical="center" textRotation="90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7" fillId="0" borderId="2" xfId="4" applyFont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8" fillId="0" borderId="2" xfId="2" applyFont="1" applyBorder="1" applyAlignment="1">
      <alignment horizontal="center" vertical="center" wrapText="1"/>
    </xf>
    <xf numFmtId="0" fontId="7" fillId="0" borderId="2" xfId="3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0" fillId="2" borderId="2" xfId="0" applyFont="1" applyFill="1" applyBorder="1" applyAlignment="1">
      <alignment horizontal="center" vertical="center" textRotation="90"/>
    </xf>
    <xf numFmtId="20" fontId="4" fillId="0" borderId="13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 textRotation="90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20" fillId="9" borderId="32" xfId="1" applyNumberFormat="1" applyFont="1" applyFill="1" applyBorder="1" applyAlignment="1">
      <alignment horizontal="center" vertical="center"/>
    </xf>
    <xf numFmtId="0" fontId="20" fillId="9" borderId="33" xfId="1" applyFont="1" applyFill="1" applyBorder="1" applyAlignment="1">
      <alignment horizontal="center" vertical="center"/>
    </xf>
    <xf numFmtId="0" fontId="20" fillId="9" borderId="34" xfId="1" applyFont="1" applyFill="1" applyBorder="1" applyAlignment="1">
      <alignment horizontal="center" vertical="center"/>
    </xf>
    <xf numFmtId="165" fontId="20" fillId="9" borderId="35" xfId="1" applyNumberFormat="1" applyFont="1" applyFill="1" applyBorder="1" applyAlignment="1">
      <alignment horizontal="center" vertical="center"/>
    </xf>
    <xf numFmtId="0" fontId="21" fillId="10" borderId="36" xfId="1" applyFont="1" applyFill="1" applyBorder="1" applyAlignment="1">
      <alignment horizontal="center" vertical="center"/>
    </xf>
    <xf numFmtId="0" fontId="20" fillId="9" borderId="37" xfId="1" applyFont="1" applyFill="1" applyBorder="1" applyAlignment="1">
      <alignment horizontal="center" vertical="center"/>
    </xf>
    <xf numFmtId="49" fontId="12" fillId="11" borderId="38" xfId="0" applyNumberFormat="1" applyFont="1" applyFill="1" applyBorder="1" applyAlignment="1">
      <alignment horizontal="center" vertical="center"/>
    </xf>
    <xf numFmtId="49" fontId="12" fillId="0" borderId="31" xfId="0" applyNumberFormat="1" applyFont="1" applyBorder="1" applyAlignment="1">
      <alignment horizontal="center" vertical="center"/>
    </xf>
    <xf numFmtId="0" fontId="21" fillId="10" borderId="39" xfId="1" applyFont="1" applyFill="1" applyBorder="1" applyAlignment="1">
      <alignment horizontal="center" vertical="center"/>
    </xf>
    <xf numFmtId="0" fontId="21" fillId="10" borderId="40" xfId="1" applyFont="1" applyFill="1" applyBorder="1" applyAlignment="1">
      <alignment horizontal="center" vertical="center"/>
    </xf>
    <xf numFmtId="0" fontId="21" fillId="12" borderId="40" xfId="1" applyFont="1" applyFill="1" applyBorder="1" applyAlignment="1">
      <alignment horizontal="center" vertical="center"/>
    </xf>
    <xf numFmtId="0" fontId="11" fillId="0" borderId="0" xfId="1" applyFont="1" applyAlignment="1">
      <alignment horizontal="center" vertical="center"/>
    </xf>
    <xf numFmtId="49" fontId="12" fillId="13" borderId="41" xfId="0" applyNumberFormat="1" applyFont="1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13" borderId="11" xfId="1" applyFont="1" applyFill="1" applyBorder="1" applyAlignment="1">
      <alignment horizontal="center" vertical="center"/>
    </xf>
    <xf numFmtId="0" fontId="21" fillId="13" borderId="39" xfId="1" applyFont="1" applyFill="1" applyBorder="1" applyAlignment="1">
      <alignment horizontal="center" vertical="center"/>
    </xf>
    <xf numFmtId="0" fontId="21" fillId="13" borderId="40" xfId="1" applyFont="1" applyFill="1" applyBorder="1" applyAlignment="1">
      <alignment horizontal="center" vertical="center"/>
    </xf>
    <xf numFmtId="49" fontId="12" fillId="11" borderId="41" xfId="0" applyNumberFormat="1" applyFont="1" applyFill="1" applyBorder="1" applyAlignment="1">
      <alignment horizontal="center" vertical="center"/>
    </xf>
    <xf numFmtId="0" fontId="0" fillId="11" borderId="11" xfId="1" applyFont="1" applyFill="1" applyBorder="1" applyAlignment="1">
      <alignment horizontal="center" vertical="center"/>
    </xf>
    <xf numFmtId="0" fontId="21" fillId="14" borderId="39" xfId="1" applyFont="1" applyFill="1" applyBorder="1" applyAlignment="1">
      <alignment horizontal="center" vertical="center"/>
    </xf>
    <xf numFmtId="0" fontId="21" fillId="14" borderId="40" xfId="1" applyFont="1" applyFill="1" applyBorder="1" applyAlignment="1">
      <alignment horizontal="center" vertical="center"/>
    </xf>
    <xf numFmtId="0" fontId="21" fillId="15" borderId="39" xfId="1" applyFont="1" applyFill="1" applyBorder="1" applyAlignment="1">
      <alignment horizontal="center" vertical="center"/>
    </xf>
    <xf numFmtId="0" fontId="21" fillId="15" borderId="40" xfId="1" applyFont="1" applyFill="1" applyBorder="1" applyAlignment="1">
      <alignment horizontal="center" vertical="center"/>
    </xf>
    <xf numFmtId="0" fontId="21" fillId="14" borderId="43" xfId="1" applyFont="1" applyFill="1" applyBorder="1" applyAlignment="1">
      <alignment horizontal="center" vertical="center"/>
    </xf>
    <xf numFmtId="0" fontId="21" fillId="14" borderId="44" xfId="1" applyFont="1" applyFill="1" applyBorder="1" applyAlignment="1">
      <alignment horizontal="center" vertical="center"/>
    </xf>
    <xf numFmtId="0" fontId="21" fillId="11" borderId="39" xfId="1" applyFont="1" applyFill="1" applyBorder="1" applyAlignment="1">
      <alignment horizontal="center" vertical="center"/>
    </xf>
    <xf numFmtId="0" fontId="21" fillId="11" borderId="40" xfId="1" applyFont="1" applyFill="1" applyBorder="1" applyAlignment="1">
      <alignment horizontal="center" vertical="center"/>
    </xf>
    <xf numFmtId="0" fontId="21" fillId="13" borderId="43" xfId="1" applyFont="1" applyFill="1" applyBorder="1" applyAlignment="1">
      <alignment horizontal="center" vertical="center"/>
    </xf>
    <xf numFmtId="0" fontId="21" fillId="13" borderId="44" xfId="1" applyFont="1" applyFill="1" applyBorder="1" applyAlignment="1">
      <alignment horizontal="center" vertical="center"/>
    </xf>
    <xf numFmtId="49" fontId="12" fillId="11" borderId="45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11" borderId="48" xfId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6" fillId="0" borderId="0" xfId="0" applyFont="1"/>
    <xf numFmtId="49" fontId="13" fillId="11" borderId="49" xfId="0" applyNumberFormat="1" applyFont="1" applyFill="1" applyBorder="1" applyAlignment="1">
      <alignment horizontal="center" vertical="center"/>
    </xf>
    <xf numFmtId="49" fontId="13" fillId="13" borderId="49" xfId="0" applyNumberFormat="1" applyFont="1" applyFill="1" applyBorder="1" applyAlignment="1">
      <alignment horizontal="center" vertical="center"/>
    </xf>
    <xf numFmtId="49" fontId="25" fillId="3" borderId="52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34" fillId="0" borderId="0" xfId="0" applyFont="1"/>
    <xf numFmtId="0" fontId="34" fillId="0" borderId="0" xfId="0" applyFont="1" applyAlignment="1" applyProtection="1">
      <alignment horizontal="center" vertical="center" wrapText="1"/>
      <protection locked="0"/>
    </xf>
    <xf numFmtId="0" fontId="34" fillId="0" borderId="0" xfId="0" applyFont="1" applyProtection="1">
      <protection locked="0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 vertical="center" textRotation="90"/>
    </xf>
    <xf numFmtId="20" fontId="28" fillId="3" borderId="19" xfId="0" applyNumberFormat="1" applyFont="1" applyFill="1" applyBorder="1" applyAlignment="1">
      <alignment horizontal="left" vertical="center"/>
    </xf>
    <xf numFmtId="0" fontId="22" fillId="0" borderId="21" xfId="0" applyFont="1" applyBorder="1" applyAlignment="1">
      <alignment horizontal="right" vertical="center"/>
    </xf>
    <xf numFmtId="0" fontId="28" fillId="4" borderId="19" xfId="0" applyFont="1" applyFill="1" applyBorder="1" applyAlignment="1">
      <alignment horizontal="left" vertical="center"/>
    </xf>
    <xf numFmtId="0" fontId="0" fillId="4" borderId="20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8" fillId="5" borderId="19" xfId="0" applyFont="1" applyFill="1" applyBorder="1" applyAlignment="1">
      <alignment horizontal="left" vertical="center"/>
    </xf>
    <xf numFmtId="0" fontId="8" fillId="0" borderId="2" xfId="2" applyFont="1" applyBorder="1" applyAlignment="1">
      <alignment vertical="center" wrapText="1"/>
    </xf>
    <xf numFmtId="0" fontId="7" fillId="0" borderId="3" xfId="3" applyFont="1" applyBorder="1" applyAlignment="1">
      <alignment horizontal="center" vertical="center" wrapText="1"/>
    </xf>
    <xf numFmtId="0" fontId="16" fillId="2" borderId="19" xfId="0" applyFont="1" applyFill="1" applyBorder="1" applyAlignment="1">
      <alignment horizontal="center" vertical="center" wrapText="1"/>
    </xf>
    <xf numFmtId="0" fontId="0" fillId="2" borderId="20" xfId="0" applyFill="1" applyBorder="1" applyAlignment="1">
      <alignment horizontal="center" vertical="center" wrapText="1"/>
    </xf>
    <xf numFmtId="0" fontId="0" fillId="2" borderId="20" xfId="0" applyFill="1" applyBorder="1" applyAlignment="1">
      <alignment horizontal="center" vertical="center"/>
    </xf>
    <xf numFmtId="0" fontId="17" fillId="2" borderId="2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 textRotation="90"/>
    </xf>
    <xf numFmtId="0" fontId="10" fillId="2" borderId="0" xfId="0" applyFont="1" applyFill="1" applyAlignment="1">
      <alignment horizontal="center" vertical="center" textRotation="90"/>
    </xf>
    <xf numFmtId="0" fontId="3" fillId="2" borderId="29" xfId="0" applyFont="1" applyFill="1" applyBorder="1" applyAlignment="1">
      <alignment horizontal="center" vertical="center" textRotation="90"/>
    </xf>
    <xf numFmtId="0" fontId="16" fillId="2" borderId="0" xfId="0" applyFont="1" applyFill="1" applyAlignment="1">
      <alignment horizontal="center" vertical="center" wrapText="1"/>
    </xf>
    <xf numFmtId="0" fontId="3" fillId="2" borderId="20" xfId="0" applyFont="1" applyFill="1" applyBorder="1" applyAlignment="1">
      <alignment horizontal="center" vertical="center" textRotation="90"/>
    </xf>
    <xf numFmtId="0" fontId="10" fillId="2" borderId="20" xfId="0" applyFont="1" applyFill="1" applyBorder="1" applyAlignment="1">
      <alignment horizontal="center" vertical="center" textRotation="90"/>
    </xf>
    <xf numFmtId="0" fontId="3" fillId="2" borderId="21" xfId="0" applyFont="1" applyFill="1" applyBorder="1" applyAlignment="1">
      <alignment horizontal="center" vertical="center" textRotation="90"/>
    </xf>
    <xf numFmtId="0" fontId="3" fillId="0" borderId="22" xfId="0" quotePrefix="1" applyFont="1" applyBorder="1" applyAlignment="1">
      <alignment horizontal="center" vertical="center"/>
    </xf>
    <xf numFmtId="0" fontId="3" fillId="0" borderId="22" xfId="0" quotePrefix="1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textRotation="90"/>
    </xf>
    <xf numFmtId="0" fontId="0" fillId="0" borderId="2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 applyAlignment="1">
      <alignment horizontal="center" vertical="center" textRotation="90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6" xfId="0" applyBorder="1" applyAlignment="1">
      <alignment horizontal="center" vertical="center" textRotation="90"/>
    </xf>
    <xf numFmtId="0" fontId="0" fillId="0" borderId="27" xfId="0" applyBorder="1" applyAlignment="1">
      <alignment horizontal="center" vertical="center"/>
    </xf>
    <xf numFmtId="0" fontId="3" fillId="0" borderId="22" xfId="0" applyFont="1" applyBorder="1" applyAlignment="1">
      <alignment horizontal="center" vertical="center" wrapText="1"/>
    </xf>
    <xf numFmtId="0" fontId="3" fillId="0" borderId="23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29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4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18" fillId="8" borderId="20" xfId="0" applyFont="1" applyFill="1" applyBorder="1" applyAlignment="1">
      <alignment horizontal="center" vertical="center"/>
    </xf>
    <xf numFmtId="0" fontId="31" fillId="8" borderId="20" xfId="0" applyFont="1" applyFill="1" applyBorder="1" applyAlignment="1">
      <alignment vertical="center" textRotation="90"/>
    </xf>
    <xf numFmtId="0" fontId="19" fillId="8" borderId="20" xfId="0" applyFont="1" applyFill="1" applyBorder="1" applyAlignment="1">
      <alignment horizontal="center" vertical="center"/>
    </xf>
    <xf numFmtId="0" fontId="13" fillId="8" borderId="20" xfId="0" applyFont="1" applyFill="1" applyBorder="1" applyAlignment="1">
      <alignment horizontal="center" vertical="center"/>
    </xf>
    <xf numFmtId="0" fontId="19" fillId="8" borderId="21" xfId="0" applyFont="1" applyFill="1" applyBorder="1" applyAlignment="1">
      <alignment horizontal="center" vertical="center"/>
    </xf>
    <xf numFmtId="0" fontId="31" fillId="8" borderId="0" xfId="0" applyFont="1" applyFill="1" applyAlignment="1">
      <alignment vertical="center" textRotation="90"/>
    </xf>
    <xf numFmtId="0" fontId="13" fillId="8" borderId="0" xfId="0" applyFont="1" applyFill="1" applyAlignment="1">
      <alignment vertical="center" wrapText="1"/>
    </xf>
    <xf numFmtId="0" fontId="13" fillId="8" borderId="0" xfId="0" applyFont="1" applyFill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3" fillId="0" borderId="29" xfId="0" applyFont="1" applyBorder="1" applyAlignment="1">
      <alignment vertical="center" wrapText="1"/>
    </xf>
    <xf numFmtId="0" fontId="13" fillId="8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13" fillId="0" borderId="29" xfId="0" applyFont="1" applyBorder="1" applyAlignment="1">
      <alignment vertical="center"/>
    </xf>
    <xf numFmtId="0" fontId="13" fillId="8" borderId="29" xfId="0" applyFont="1" applyFill="1" applyBorder="1" applyAlignment="1">
      <alignment vertical="center" wrapText="1"/>
    </xf>
    <xf numFmtId="0" fontId="13" fillId="0" borderId="0" xfId="0" applyFont="1" applyAlignment="1">
      <alignment horizontal="center" vertical="center"/>
    </xf>
    <xf numFmtId="0" fontId="13" fillId="0" borderId="29" xfId="0" applyFont="1" applyBorder="1" applyAlignment="1">
      <alignment horizontal="center" vertical="center"/>
    </xf>
    <xf numFmtId="0" fontId="0" fillId="0" borderId="29" xfId="0" applyBorder="1"/>
    <xf numFmtId="0" fontId="31" fillId="8" borderId="9" xfId="0" applyFont="1" applyFill="1" applyBorder="1" applyAlignment="1">
      <alignment vertical="center" textRotation="90"/>
    </xf>
    <xf numFmtId="0" fontId="0" fillId="0" borderId="9" xfId="0" applyBorder="1"/>
    <xf numFmtId="0" fontId="0" fillId="0" borderId="51" xfId="0" applyBorder="1"/>
    <xf numFmtId="0" fontId="0" fillId="8" borderId="0" xfId="0" applyFill="1"/>
    <xf numFmtId="1" fontId="25" fillId="8" borderId="0" xfId="0" applyNumberFormat="1" applyFont="1" applyFill="1" applyAlignment="1">
      <alignment horizontal="center" vertical="center"/>
    </xf>
    <xf numFmtId="0" fontId="35" fillId="0" borderId="22" xfId="0" quotePrefix="1" applyFont="1" applyBorder="1" applyAlignment="1">
      <alignment horizontal="center" vertical="center" wrapText="1"/>
    </xf>
    <xf numFmtId="0" fontId="3" fillId="8" borderId="22" xfId="0" applyFont="1" applyFill="1" applyBorder="1" applyAlignment="1">
      <alignment horizontal="center" vertical="center"/>
    </xf>
    <xf numFmtId="0" fontId="3" fillId="8" borderId="22" xfId="0" quotePrefix="1" applyFont="1" applyFill="1" applyBorder="1" applyAlignment="1">
      <alignment horizontal="center" vertical="center"/>
    </xf>
    <xf numFmtId="0" fontId="7" fillId="0" borderId="59" xfId="4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39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40" fillId="0" borderId="0" xfId="0" applyFont="1" applyAlignment="1">
      <alignment horizontal="right" vertical="center"/>
    </xf>
    <xf numFmtId="0" fontId="41" fillId="0" borderId="22" xfId="0" quotePrefix="1" applyFont="1" applyBorder="1" applyAlignment="1">
      <alignment horizontal="center" vertical="center"/>
    </xf>
    <xf numFmtId="0" fontId="40" fillId="0" borderId="22" xfId="0" quotePrefix="1" applyFont="1" applyBorder="1" applyAlignment="1">
      <alignment horizontal="center" vertical="center"/>
    </xf>
    <xf numFmtId="0" fontId="40" fillId="0" borderId="22" xfId="0" applyFont="1" applyBorder="1" applyAlignment="1">
      <alignment horizontal="center" vertical="center"/>
    </xf>
    <xf numFmtId="0" fontId="40" fillId="8" borderId="22" xfId="0" applyFont="1" applyFill="1" applyBorder="1" applyAlignment="1">
      <alignment horizontal="center" vertical="center"/>
    </xf>
    <xf numFmtId="0" fontId="41" fillId="0" borderId="22" xfId="0" applyFont="1" applyBorder="1" applyAlignment="1">
      <alignment horizontal="center" vertical="center"/>
    </xf>
    <xf numFmtId="0" fontId="42" fillId="15" borderId="39" xfId="1" applyFont="1" applyFill="1" applyBorder="1" applyAlignment="1">
      <alignment horizontal="center" vertical="center"/>
    </xf>
    <xf numFmtId="0" fontId="42" fillId="12" borderId="40" xfId="1" applyFont="1" applyFill="1" applyBorder="1" applyAlignment="1">
      <alignment horizontal="center" vertical="center"/>
    </xf>
    <xf numFmtId="0" fontId="34" fillId="0" borderId="42" xfId="0" applyFont="1" applyBorder="1" applyAlignment="1">
      <alignment horizontal="center"/>
    </xf>
    <xf numFmtId="0" fontId="3" fillId="8" borderId="22" xfId="0" quotePrefix="1" applyFont="1" applyFill="1" applyBorder="1" applyAlignment="1">
      <alignment horizontal="center" vertical="center" wrapText="1"/>
    </xf>
    <xf numFmtId="20" fontId="0" fillId="0" borderId="0" xfId="0" applyNumberFormat="1"/>
    <xf numFmtId="49" fontId="43" fillId="11" borderId="41" xfId="0" applyNumberFormat="1" applyFont="1" applyFill="1" applyBorder="1" applyAlignment="1">
      <alignment horizontal="center" vertical="center"/>
    </xf>
    <xf numFmtId="49" fontId="43" fillId="11" borderId="45" xfId="0" applyNumberFormat="1" applyFont="1" applyFill="1" applyBorder="1" applyAlignment="1">
      <alignment horizontal="center" vertical="center"/>
    </xf>
    <xf numFmtId="0" fontId="45" fillId="0" borderId="0" xfId="0" applyFont="1" applyAlignment="1">
      <alignment vertical="top" wrapText="1" readingOrder="1"/>
    </xf>
    <xf numFmtId="0" fontId="0" fillId="0" borderId="0" xfId="0" applyAlignment="1">
      <alignment vertical="top" readingOrder="1"/>
    </xf>
    <xf numFmtId="0" fontId="44" fillId="0" borderId="0" xfId="0" applyFont="1" applyAlignment="1">
      <alignment vertical="top" readingOrder="1"/>
    </xf>
    <xf numFmtId="0" fontId="45" fillId="0" borderId="0" xfId="0" applyFont="1" applyAlignment="1">
      <alignment vertical="top" readingOrder="1"/>
    </xf>
    <xf numFmtId="0" fontId="46" fillId="0" borderId="0" xfId="0" applyFont="1" applyAlignment="1">
      <alignment vertical="top" readingOrder="1"/>
    </xf>
    <xf numFmtId="0" fontId="47" fillId="0" borderId="22" xfId="0" quotePrefix="1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8" fillId="0" borderId="0" xfId="0" applyFont="1" applyAlignment="1">
      <alignment vertical="top" readingOrder="1"/>
    </xf>
    <xf numFmtId="0" fontId="49" fillId="0" borderId="0" xfId="0" applyFont="1" applyAlignment="1">
      <alignment vertical="top" readingOrder="1"/>
    </xf>
    <xf numFmtId="0" fontId="50" fillId="0" borderId="0" xfId="0" applyFont="1" applyAlignment="1">
      <alignment vertical="top" readingOrder="1"/>
    </xf>
    <xf numFmtId="164" fontId="48" fillId="0" borderId="0" xfId="0" applyNumberFormat="1" applyFont="1" applyAlignment="1">
      <alignment vertical="top" readingOrder="1"/>
    </xf>
    <xf numFmtId="164" fontId="51" fillId="0" borderId="0" xfId="0" applyNumberFormat="1" applyFont="1" applyAlignment="1">
      <alignment vertical="top" readingOrder="1"/>
    </xf>
    <xf numFmtId="49" fontId="15" fillId="16" borderId="60" xfId="0" applyNumberFormat="1" applyFont="1" applyFill="1" applyBorder="1" applyAlignment="1">
      <alignment horizontal="center" vertical="center"/>
    </xf>
    <xf numFmtId="49" fontId="13" fillId="13" borderId="60" xfId="0" applyNumberFormat="1" applyFont="1" applyFill="1" applyBorder="1" applyAlignment="1">
      <alignment horizontal="center" vertical="center"/>
    </xf>
    <xf numFmtId="49" fontId="25" fillId="3" borderId="60" xfId="0" applyNumberFormat="1" applyFont="1" applyFill="1" applyBorder="1" applyAlignment="1">
      <alignment horizontal="center" vertical="center"/>
    </xf>
    <xf numFmtId="49" fontId="25" fillId="16" borderId="60" xfId="0" applyNumberFormat="1" applyFont="1" applyFill="1" applyBorder="1" applyAlignment="1">
      <alignment horizontal="center" vertical="center"/>
    </xf>
    <xf numFmtId="49" fontId="13" fillId="11" borderId="60" xfId="0" applyNumberFormat="1" applyFont="1" applyFill="1" applyBorder="1" applyAlignment="1">
      <alignment horizontal="center" vertical="center"/>
    </xf>
    <xf numFmtId="49" fontId="25" fillId="8" borderId="60" xfId="0" applyNumberFormat="1" applyFont="1" applyFill="1" applyBorder="1" applyAlignment="1">
      <alignment horizontal="center" vertical="center"/>
    </xf>
    <xf numFmtId="49" fontId="25" fillId="8" borderId="61" xfId="0" applyNumberFormat="1" applyFont="1" applyFill="1" applyBorder="1" applyAlignment="1">
      <alignment horizontal="center" vertical="center"/>
    </xf>
    <xf numFmtId="49" fontId="25" fillId="8" borderId="62" xfId="0" applyNumberFormat="1" applyFont="1" applyFill="1" applyBorder="1" applyAlignment="1">
      <alignment horizontal="center" vertical="center"/>
    </xf>
    <xf numFmtId="166" fontId="25" fillId="8" borderId="60" xfId="0" applyNumberFormat="1" applyFont="1" applyFill="1" applyBorder="1" applyAlignment="1">
      <alignment horizontal="center" vertical="center"/>
    </xf>
    <xf numFmtId="1" fontId="25" fillId="8" borderId="60" xfId="0" applyNumberFormat="1" applyFont="1" applyFill="1" applyBorder="1" applyAlignment="1">
      <alignment horizontal="center" vertical="center"/>
    </xf>
    <xf numFmtId="49" fontId="25" fillId="2" borderId="60" xfId="0" applyNumberFormat="1" applyFont="1" applyFill="1" applyBorder="1" applyAlignment="1">
      <alignment horizontal="center" vertical="center"/>
    </xf>
    <xf numFmtId="166" fontId="25" fillId="2" borderId="60" xfId="0" applyNumberFormat="1" applyFont="1" applyFill="1" applyBorder="1" applyAlignment="1">
      <alignment horizontal="center" vertical="center"/>
    </xf>
    <xf numFmtId="166" fontId="25" fillId="3" borderId="60" xfId="0" applyNumberFormat="1" applyFont="1" applyFill="1" applyBorder="1" applyAlignment="1">
      <alignment horizontal="center" vertical="center"/>
    </xf>
    <xf numFmtId="1" fontId="25" fillId="2" borderId="60" xfId="0" applyNumberFormat="1" applyFont="1" applyFill="1" applyBorder="1" applyAlignment="1">
      <alignment horizontal="center" vertical="center"/>
    </xf>
    <xf numFmtId="49" fontId="25" fillId="17" borderId="60" xfId="0" applyNumberFormat="1" applyFont="1" applyFill="1" applyBorder="1" applyAlignment="1">
      <alignment horizontal="center" vertical="center"/>
    </xf>
    <xf numFmtId="166" fontId="25" fillId="8" borderId="61" xfId="0" applyNumberFormat="1" applyFont="1" applyFill="1" applyBorder="1" applyAlignment="1">
      <alignment horizontal="center" vertical="center"/>
    </xf>
    <xf numFmtId="0" fontId="25" fillId="3" borderId="60" xfId="0" applyFont="1" applyFill="1" applyBorder="1" applyAlignment="1">
      <alignment horizontal="center" vertical="center"/>
    </xf>
    <xf numFmtId="1" fontId="25" fillId="3" borderId="60" xfId="0" applyNumberFormat="1" applyFont="1" applyFill="1" applyBorder="1" applyAlignment="1">
      <alignment horizontal="center" vertical="center"/>
    </xf>
    <xf numFmtId="49" fontId="13" fillId="17" borderId="60" xfId="0" applyNumberFormat="1" applyFont="1" applyFill="1" applyBorder="1" applyAlignment="1">
      <alignment horizontal="center" vertical="center"/>
    </xf>
    <xf numFmtId="49" fontId="13" fillId="18" borderId="60" xfId="0" applyNumberFormat="1" applyFont="1" applyFill="1" applyBorder="1" applyAlignment="1">
      <alignment horizontal="center" vertical="center"/>
    </xf>
    <xf numFmtId="166" fontId="25" fillId="8" borderId="62" xfId="0" applyNumberFormat="1" applyFont="1" applyFill="1" applyBorder="1" applyAlignment="1">
      <alignment horizontal="center" vertical="center"/>
    </xf>
    <xf numFmtId="49" fontId="13" fillId="19" borderId="60" xfId="0" applyNumberFormat="1" applyFont="1" applyFill="1" applyBorder="1" applyAlignment="1">
      <alignment horizontal="center" vertical="center"/>
    </xf>
    <xf numFmtId="49" fontId="13" fillId="11" borderId="0" xfId="0" applyNumberFormat="1" applyFont="1" applyFill="1" applyAlignment="1">
      <alignment horizontal="center" vertical="center"/>
    </xf>
    <xf numFmtId="49" fontId="37" fillId="8" borderId="60" xfId="0" applyNumberFormat="1" applyFont="1" applyFill="1" applyBorder="1" applyAlignment="1">
      <alignment horizontal="center" vertical="center"/>
    </xf>
    <xf numFmtId="49" fontId="38" fillId="13" borderId="60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 vertical="center"/>
    </xf>
    <xf numFmtId="0" fontId="53" fillId="20" borderId="0" xfId="0" applyFont="1" applyFill="1"/>
    <xf numFmtId="167" fontId="54" fillId="20" borderId="0" xfId="0" applyNumberFormat="1" applyFont="1" applyFill="1"/>
    <xf numFmtId="0" fontId="53" fillId="20" borderId="0" xfId="0" applyFont="1" applyFill="1" applyAlignment="1">
      <alignment horizontal="center" vertical="center"/>
    </xf>
    <xf numFmtId="0" fontId="53" fillId="20" borderId="0" xfId="0" applyFont="1" applyFill="1" applyAlignment="1">
      <alignment horizontal="center" vertical="center" wrapText="1"/>
    </xf>
    <xf numFmtId="0" fontId="53" fillId="20" borderId="0" xfId="0" applyFont="1" applyFill="1" applyAlignment="1">
      <alignment horizontal="center"/>
    </xf>
    <xf numFmtId="0" fontId="55" fillId="20" borderId="0" xfId="0" applyFont="1" applyFill="1" applyAlignment="1">
      <alignment horizontal="right" vertical="center"/>
    </xf>
    <xf numFmtId="0" fontId="56" fillId="20" borderId="0" xfId="0" applyFont="1" applyFill="1" applyAlignment="1">
      <alignment horizontal="right" vertical="center"/>
    </xf>
    <xf numFmtId="0" fontId="57" fillId="20" borderId="0" xfId="0" applyFont="1" applyFill="1" applyAlignment="1">
      <alignment horizontal="right" vertical="center"/>
    </xf>
    <xf numFmtId="0" fontId="53" fillId="20" borderId="0" xfId="0" applyFont="1" applyFill="1" applyAlignment="1" applyProtection="1">
      <alignment horizontal="center" vertical="center" wrapText="1"/>
      <protection locked="0"/>
    </xf>
    <xf numFmtId="0" fontId="53" fillId="20" borderId="0" xfId="0" applyFont="1" applyFill="1" applyProtection="1">
      <protection locked="0"/>
    </xf>
    <xf numFmtId="20" fontId="29" fillId="0" borderId="0" xfId="1" applyNumberFormat="1" applyFont="1" applyAlignment="1">
      <alignment horizontal="center" vertical="center"/>
    </xf>
    <xf numFmtId="20" fontId="30" fillId="0" borderId="0" xfId="1" applyNumberFormat="1" applyFont="1" applyAlignment="1">
      <alignment horizontal="center" vertical="center"/>
    </xf>
    <xf numFmtId="0" fontId="34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26" fillId="0" borderId="60" xfId="0" applyNumberFormat="1" applyFont="1" applyBorder="1" applyAlignment="1">
      <alignment horizontal="center" vertical="center"/>
    </xf>
    <xf numFmtId="0" fontId="26" fillId="8" borderId="0" xfId="0" applyFont="1" applyFill="1" applyAlignment="1">
      <alignment horizontal="center" vertical="center"/>
    </xf>
    <xf numFmtId="0" fontId="26" fillId="0" borderId="0" xfId="0" applyFont="1" applyAlignment="1">
      <alignment horizontal="center"/>
    </xf>
    <xf numFmtId="0" fontId="25" fillId="0" borderId="0" xfId="0" applyFont="1" applyAlignment="1">
      <alignment vertical="center"/>
    </xf>
    <xf numFmtId="0" fontId="58" fillId="0" borderId="0" xfId="0" applyFont="1" applyAlignment="1">
      <alignment horizontal="center" vertical="center" readingOrder="1"/>
    </xf>
    <xf numFmtId="0" fontId="48" fillId="0" borderId="0" xfId="0" applyFont="1" applyAlignment="1">
      <alignment horizontal="center" vertical="top" readingOrder="1"/>
    </xf>
    <xf numFmtId="0" fontId="0" fillId="0" borderId="60" xfId="0" applyBorder="1" applyAlignment="1">
      <alignment horizontal="center" vertical="center"/>
    </xf>
    <xf numFmtId="0" fontId="31" fillId="3" borderId="12" xfId="0" applyFont="1" applyFill="1" applyBorder="1" applyAlignment="1">
      <alignment horizontal="center" vertical="center" textRotation="90"/>
    </xf>
    <xf numFmtId="0" fontId="31" fillId="3" borderId="57" xfId="0" applyFont="1" applyFill="1" applyBorder="1" applyAlignment="1">
      <alignment horizontal="center" vertical="center" textRotation="90"/>
    </xf>
    <xf numFmtId="0" fontId="31" fillId="3" borderId="58" xfId="0" applyFont="1" applyFill="1" applyBorder="1" applyAlignment="1">
      <alignment horizontal="center" vertical="center" textRotation="90"/>
    </xf>
    <xf numFmtId="0" fontId="14" fillId="6" borderId="20" xfId="0" applyFont="1" applyFill="1" applyBorder="1" applyAlignment="1">
      <alignment horizontal="center" vertical="center" textRotation="90"/>
    </xf>
    <xf numFmtId="0" fontId="14" fillId="6" borderId="21" xfId="0" applyFont="1" applyFill="1" applyBorder="1" applyAlignment="1">
      <alignment horizontal="center" vertical="center" textRotation="90"/>
    </xf>
    <xf numFmtId="0" fontId="14" fillId="6" borderId="9" xfId="0" applyFont="1" applyFill="1" applyBorder="1" applyAlignment="1">
      <alignment horizontal="center" vertical="center" textRotation="90"/>
    </xf>
    <xf numFmtId="0" fontId="14" fillId="6" borderId="51" xfId="0" applyFont="1" applyFill="1" applyBorder="1" applyAlignment="1">
      <alignment horizontal="center" vertical="center" textRotation="90"/>
    </xf>
    <xf numFmtId="0" fontId="8" fillId="0" borderId="2" xfId="1" applyFont="1" applyBorder="1" applyAlignment="1">
      <alignment horizontal="center" vertical="center" wrapText="1"/>
    </xf>
    <xf numFmtId="0" fontId="32" fillId="7" borderId="0" xfId="1" applyFont="1" applyFill="1" applyAlignment="1">
      <alignment horizontal="center" vertical="center"/>
    </xf>
    <xf numFmtId="0" fontId="36" fillId="6" borderId="2" xfId="0" applyFont="1" applyFill="1" applyBorder="1" applyAlignment="1">
      <alignment horizontal="center" vertical="center"/>
    </xf>
    <xf numFmtId="0" fontId="31" fillId="5" borderId="19" xfId="0" applyFont="1" applyFill="1" applyBorder="1" applyAlignment="1">
      <alignment horizontal="center" vertical="center" textRotation="90"/>
    </xf>
    <xf numFmtId="0" fontId="31" fillId="5" borderId="20" xfId="0" applyFont="1" applyFill="1" applyBorder="1" applyAlignment="1">
      <alignment horizontal="center" vertical="center" textRotation="90"/>
    </xf>
    <xf numFmtId="0" fontId="31" fillId="5" borderId="21" xfId="0" applyFont="1" applyFill="1" applyBorder="1" applyAlignment="1">
      <alignment horizontal="center" vertical="center" textRotation="90"/>
    </xf>
    <xf numFmtId="0" fontId="31" fillId="5" borderId="30" xfId="0" applyFont="1" applyFill="1" applyBorder="1" applyAlignment="1">
      <alignment horizontal="center" vertical="center" textRotation="90"/>
    </xf>
    <xf numFmtId="0" fontId="31" fillId="5" borderId="0" xfId="0" applyFont="1" applyFill="1" applyAlignment="1">
      <alignment horizontal="center" vertical="center" textRotation="90"/>
    </xf>
    <xf numFmtId="0" fontId="31" fillId="5" borderId="29" xfId="0" applyFont="1" applyFill="1" applyBorder="1" applyAlignment="1">
      <alignment horizontal="center" vertical="center" textRotation="90"/>
    </xf>
    <xf numFmtId="0" fontId="31" fillId="5" borderId="50" xfId="0" applyFont="1" applyFill="1" applyBorder="1" applyAlignment="1">
      <alignment horizontal="center" vertical="center" textRotation="90"/>
    </xf>
    <xf numFmtId="0" fontId="31" fillId="5" borderId="9" xfId="0" applyFont="1" applyFill="1" applyBorder="1" applyAlignment="1">
      <alignment horizontal="center" vertical="center" textRotation="90"/>
    </xf>
    <xf numFmtId="0" fontId="31" fillId="5" borderId="51" xfId="0" applyFont="1" applyFill="1" applyBorder="1" applyAlignment="1">
      <alignment horizontal="center" vertical="center" textRotation="90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8" fillId="0" borderId="2" xfId="2" applyFont="1" applyBorder="1" applyAlignment="1">
      <alignment horizontal="right" vertical="center" wrapText="1" indent="3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</cellXfs>
  <cellStyles count="5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4" xr:uid="{00000000-0005-0000-0000-000004000000}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B Nazanin"/>
        <scheme val="none"/>
      </font>
      <numFmt numFmtId="0" formatCode="General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B Nazanin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B Nazanin"/>
        <scheme val="none"/>
      </font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B Nazanin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B Nazanin"/>
        <scheme val="none"/>
      </font>
      <numFmt numFmtId="0" formatCode="General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B Nazanin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B Nazanin"/>
        <scheme val="none"/>
      </font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B Nazanin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 Nazani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 Nazanin"/>
        <scheme val="none"/>
      </font>
      <numFmt numFmtId="0" formatCode="General"/>
      <alignment horizontal="righ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B Nazanin"/>
        <scheme val="none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B Nazanin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 Nazanin"/>
        <scheme val="none"/>
      </font>
      <numFmt numFmtId="0" formatCode="General"/>
      <alignment horizontal="righ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B Nazanin"/>
        <scheme val="none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B Nazanin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dashed">
          <color theme="6" tint="-0.24994659260841701"/>
        </left>
        <right style="dashed">
          <color theme="6" tint="-0.24994659260841701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dashed">
          <color theme="6" tint="-0.24994659260841701"/>
        </left>
        <right style="dashed">
          <color theme="6" tint="-0.24994659260841701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 Yekan"/>
        <scheme val="none"/>
      </font>
      <fill>
        <patternFill patternType="solid">
          <fgColor theme="4" tint="0.79998168889431442"/>
          <bgColor theme="4" tint="0.59999389629810485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 Yekan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relativeIndent="0" justifyLastLine="0" shrinkToFit="0" readingOrder="0"/>
      <border diagonalUp="0" diagonalDown="0">
        <left style="dotted">
          <color auto="1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 Yekan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relative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 Yekan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relative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 Yekan"/>
        <scheme val="none"/>
      </font>
      <numFmt numFmtId="165" formatCode="[$-960429]yyyy/mm/dd;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dotted">
          <color auto="1"/>
        </right>
        <top style="medium">
          <color indexed="64"/>
        </top>
        <bottom style="medium">
          <color indexed="64"/>
        </bottom>
        <vertical/>
        <horizontal/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B Nazanin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8283</xdr:colOff>
      <xdr:row>1</xdr:row>
      <xdr:rowOff>8282</xdr:rowOff>
    </xdr:from>
    <xdr:to>
      <xdr:col>18</xdr:col>
      <xdr:colOff>157370</xdr:colOff>
      <xdr:row>1</xdr:row>
      <xdr:rowOff>231913</xdr:rowOff>
    </xdr:to>
    <xdr:sp macro="[0]!all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30330239" y="207065"/>
          <a:ext cx="480391" cy="22363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r>
            <a:rPr lang="fa-IR" sz="600" b="1">
              <a:solidFill>
                <a:srgbClr val="FFFF00"/>
              </a:solidFill>
              <a:cs typeface="B Titr" pitchFamily="2" charset="-78"/>
            </a:rPr>
            <a:t>بارگذاري</a:t>
          </a:r>
          <a:endParaRPr lang="en-US" sz="1100" b="1">
            <a:solidFill>
              <a:srgbClr val="FFFF00"/>
            </a:solidFill>
            <a:cs typeface="B Titr" pitchFamily="2" charset="-7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207065</xdr:colOff>
      <xdr:row>1</xdr:row>
      <xdr:rowOff>132521</xdr:rowOff>
    </xdr:from>
    <xdr:to>
      <xdr:col>18</xdr:col>
      <xdr:colOff>347869</xdr:colOff>
      <xdr:row>3</xdr:row>
      <xdr:rowOff>24848</xdr:rowOff>
    </xdr:to>
    <xdr:sp macro="[0]!al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030587000" y="331304"/>
          <a:ext cx="753717" cy="34787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600" b="1">
              <a:solidFill>
                <a:srgbClr val="FF0000"/>
              </a:solidFill>
              <a:cs typeface="2  Bardiya" panose="00000400000000000000" pitchFamily="2" charset="-78"/>
            </a:rPr>
            <a:t>پردازش</a:t>
          </a:r>
          <a:endParaRPr lang="en-US" sz="1600" b="1">
            <a:solidFill>
              <a:srgbClr val="FF0000"/>
            </a:solidFill>
            <a:cs typeface="2  Bardiya" panose="00000400000000000000" pitchFamily="2" charset="-78"/>
          </a:endParaRPr>
        </a:p>
      </xdr:txBody>
    </xdr:sp>
    <xdr:clientData/>
  </xdr:twoCellAnchor>
  <xdr:twoCellAnchor>
    <xdr:from>
      <xdr:col>17</xdr:col>
      <xdr:colOff>207065</xdr:colOff>
      <xdr:row>3</xdr:row>
      <xdr:rowOff>75371</xdr:rowOff>
    </xdr:from>
    <xdr:to>
      <xdr:col>18</xdr:col>
      <xdr:colOff>347869</xdr:colOff>
      <xdr:row>4</xdr:row>
      <xdr:rowOff>110573</xdr:rowOff>
    </xdr:to>
    <xdr:sp macro="[0]!paksazi" textlink="">
      <xdr:nvSpPr>
        <xdr:cNvPr id="4" name="Rectangle 3">
          <a:extLst>
            <a:ext uri="{FF2B5EF4-FFF2-40B4-BE49-F238E27FC236}">
              <a16:creationId xmlns:a16="http://schemas.microsoft.com/office/drawing/2014/main" id="{11EC29A8-0272-4496-845D-8A8FB83AFEF8}"/>
            </a:ext>
          </a:extLst>
        </xdr:cNvPr>
        <xdr:cNvSpPr/>
      </xdr:nvSpPr>
      <xdr:spPr>
        <a:xfrm>
          <a:off x="11223588281" y="618296"/>
          <a:ext cx="836129" cy="349527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600" b="1">
              <a:solidFill>
                <a:srgbClr val="FF0000"/>
              </a:solidFill>
              <a:cs typeface="2  Bardiya" panose="00000400000000000000" pitchFamily="2" charset="-78"/>
            </a:rPr>
            <a:t>پاکسازی</a:t>
          </a:r>
          <a:endParaRPr lang="en-US" sz="1600" b="1">
            <a:solidFill>
              <a:srgbClr val="FF0000"/>
            </a:solidFill>
            <a:cs typeface="2  Bardiya" panose="00000400000000000000" pitchFamily="2" charset="-7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" displayName="Table7" ref="A1:F958" totalsRowShown="0" headerRowDxfId="35" headerRowBorderDxfId="34" tableBorderDxfId="33" totalsRowBorderDxfId="32">
  <tableColumns count="6">
    <tableColumn id="1" xr3:uid="{00000000-0010-0000-0000-000001000000}" name="تاريخ" dataDxfId="31"/>
    <tableColumn id="2" xr3:uid="{00000000-0010-0000-0000-000002000000}" name="A" dataDxfId="30"/>
    <tableColumn id="3" xr3:uid="{00000000-0010-0000-0000-000003000000}" name="B" dataDxfId="29"/>
    <tableColumn id="4" xr3:uid="{00000000-0010-0000-0000-000004000000}" name="C" dataDxfId="28"/>
    <tableColumn id="5" xr3:uid="{00000000-0010-0000-0000-000005000000}" name="D" dataCellStyle="Normal 2"/>
    <tableColumn id="6" xr3:uid="{00000000-0010-0000-0000-000006000000}" name="day" dataDxfId="27" dataCellStyle="Normal 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4" displayName="Table4" ref="H1:M958" totalsRowShown="0" headerRowDxfId="26" headerRowBorderDxfId="25" tableBorderDxfId="24" totalsRowBorderDxfId="23" headerRowCellStyle="Normal 2">
  <tableColumns count="6">
    <tableColumn id="1" xr3:uid="{00000000-0010-0000-0100-000001000000}" name="تاريخ" dataDxfId="22"/>
    <tableColumn id="2" xr3:uid="{00000000-0010-0000-0100-000002000000}" name="صبحكار" dataDxfId="21"/>
    <tableColumn id="3" xr3:uid="{00000000-0010-0000-0100-000003000000}" name="عصركار" dataDxfId="20"/>
    <tableColumn id="4" xr3:uid="{00000000-0010-0000-0100-000004000000}" name="OFF" dataDxfId="19"/>
    <tableColumn id="5" xr3:uid="{00000000-0010-0000-0100-000005000000}" name="day" dataDxfId="18" dataCellStyle="Normal 2"/>
    <tableColumn id="6" xr3:uid="{00000000-0010-0000-0100-000006000000}" name="rozshift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" displayName="Table1" ref="J2:K124" totalsRowShown="0" headerRowDxfId="17" dataDxfId="16" tableBorderDxfId="15">
  <tableColumns count="2">
    <tableColumn id="1" xr3:uid="{00000000-0010-0000-0200-000001000000}" name="نام" dataDxfId="14">
      <calculatedColumnFormula>IF(AND(H3=0,I3&lt;&gt;"T"),C3,"")&amp;" "&amp;IF(AND(H3=0,I3&lt;&gt;"T"),B3,"")</calculatedColumnFormula>
    </tableColumn>
    <tableColumn id="2" xr3:uid="{00000000-0010-0000-0200-000002000000}" name="شيفت" dataDxfId="13">
      <calculatedColumnFormula>IF(AND(H3=0,I3&lt;&gt;"T"),G3,"")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16" displayName="Table16" ref="N2:O124" totalsRowShown="0" headerRowDxfId="12" dataDxfId="11" tableBorderDxfId="10">
  <tableColumns count="2">
    <tableColumn id="1" xr3:uid="{00000000-0010-0000-0300-000001000000}" name="نام" dataDxfId="9">
      <calculatedColumnFormula>IF(H3&lt;&gt;0,C3,"")&amp;" "&amp;IF(H3&lt;&gt;0,B3,"")</calculatedColumnFormula>
    </tableColumn>
    <tableColumn id="2" xr3:uid="{00000000-0010-0000-0300-000002000000}" name="شيفت" dataDxfId="8">
      <calculatedColumnFormula>IF(H3&lt;&gt;0,G3,"")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" displayName="Table2" ref="J2:K50" totalsRowShown="0" headerRowDxfId="7" dataDxfId="6">
  <tableColumns count="2">
    <tableColumn id="1" xr3:uid="{00000000-0010-0000-0400-000001000000}" name="نام" dataDxfId="5">
      <calculatedColumnFormula>IF(AND(H3=0,I3&lt;&gt;"T"),C3,"")&amp;" "&amp;IF(AND(H3=0,I3&lt;&gt;"T"),B3,"")</calculatedColumnFormula>
    </tableColumn>
    <tableColumn id="2" xr3:uid="{00000000-0010-0000-0400-000002000000}" name="شيفت" dataDxfId="4">
      <calculatedColumnFormula>IF(AND(H3=0,I3&lt;&gt;"T"),G3,"")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7" displayName="Table27" ref="N2:O50" totalsRowShown="0" headerRowDxfId="3" dataDxfId="2">
  <tableColumns count="2">
    <tableColumn id="1" xr3:uid="{00000000-0010-0000-0500-000001000000}" name="نام" dataDxfId="1">
      <calculatedColumnFormula>IF(H3=1,C3,"")&amp;" "&amp;IF(H3=1,B3,"")</calculatedColumnFormula>
    </tableColumn>
    <tableColumn id="2" xr3:uid="{00000000-0010-0000-0500-000002000000}" name="شيفت" dataDxfId="0">
      <calculatedColumnFormula>IF(H3=1,G3,"")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ayscale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95"/>
  <sheetViews>
    <sheetView rightToLeft="1" tabSelected="1" view="pageBreakPreview" zoomScale="115" zoomScaleNormal="115" zoomScaleSheetLayoutView="115" workbookViewId="0">
      <selection activeCell="AX1" sqref="AX1"/>
    </sheetView>
  </sheetViews>
  <sheetFormatPr defaultColWidth="9.140625" defaultRowHeight="15" x14ac:dyDescent="0.25"/>
  <cols>
    <col min="1" max="1" width="4.140625" style="1" customWidth="1"/>
    <col min="2" max="2" width="5.5703125" style="1" customWidth="1"/>
    <col min="3" max="3" width="9.5703125" style="22" customWidth="1"/>
    <col min="4" max="4" width="8.7109375" style="1" customWidth="1"/>
    <col min="5" max="5" width="3.140625" style="1" customWidth="1"/>
    <col min="6" max="6" width="9.5703125" style="22" customWidth="1"/>
    <col min="7" max="7" width="2.42578125" style="1" customWidth="1"/>
    <col min="8" max="8" width="2.42578125" style="2" customWidth="1"/>
    <col min="9" max="9" width="2.42578125" style="1" customWidth="1"/>
    <col min="10" max="10" width="0.42578125" style="1" customWidth="1"/>
    <col min="11" max="11" width="4.140625" style="1" customWidth="1"/>
    <col min="12" max="12" width="5.28515625" style="1" customWidth="1"/>
    <col min="13" max="13" width="9.5703125" style="22" customWidth="1"/>
    <col min="14" max="14" width="8.7109375" style="1" customWidth="1"/>
    <col min="15" max="15" width="3.28515625" style="1" customWidth="1"/>
    <col min="16" max="16" width="9.5703125" style="22" customWidth="1"/>
    <col min="17" max="17" width="2.42578125" style="1" customWidth="1"/>
    <col min="18" max="18" width="2.42578125" style="2" customWidth="1"/>
    <col min="19" max="19" width="2.42578125" style="1" customWidth="1"/>
    <col min="20" max="16384" width="9.140625" style="1"/>
  </cols>
  <sheetData>
    <row r="1" spans="1:19" ht="15.75" thickBot="1" x14ac:dyDescent="0.3">
      <c r="A1" s="10" t="s">
        <v>14</v>
      </c>
      <c r="B1" s="10" t="s">
        <v>15</v>
      </c>
      <c r="C1" s="10" t="s">
        <v>16</v>
      </c>
      <c r="D1" s="10" t="s">
        <v>17</v>
      </c>
      <c r="E1" s="10" t="s">
        <v>18</v>
      </c>
      <c r="F1" s="10" t="s">
        <v>19</v>
      </c>
      <c r="G1" s="10" t="s">
        <v>20</v>
      </c>
      <c r="H1" s="10" t="s">
        <v>21</v>
      </c>
      <c r="R1" s="1"/>
    </row>
    <row r="2" spans="1:19" s="19" customFormat="1" ht="20.25" customHeight="1" thickBot="1" x14ac:dyDescent="0.3">
      <c r="A2" s="17"/>
      <c r="B2" s="18"/>
      <c r="C2" s="23" t="s">
        <v>9</v>
      </c>
      <c r="D2" s="251" t="s">
        <v>12</v>
      </c>
      <c r="E2" s="251"/>
      <c r="F2" s="251"/>
      <c r="G2" s="266" t="e">
        <f>#REF!</f>
        <v>#REF!</v>
      </c>
      <c r="H2" s="266"/>
      <c r="I2" s="267"/>
      <c r="J2" s="37"/>
      <c r="K2" s="17"/>
      <c r="L2" s="265" t="s">
        <v>12</v>
      </c>
      <c r="M2" s="265"/>
      <c r="N2" s="18"/>
      <c r="O2" s="18" t="s">
        <v>11</v>
      </c>
      <c r="P2" s="27" t="s">
        <v>9</v>
      </c>
      <c r="Q2" s="263"/>
      <c r="R2" s="263"/>
      <c r="S2" s="264"/>
    </row>
    <row r="3" spans="1:19" ht="33" customHeight="1" thickBot="1" x14ac:dyDescent="0.3">
      <c r="A3" s="31" t="s">
        <v>0</v>
      </c>
      <c r="B3" s="13" t="s">
        <v>1</v>
      </c>
      <c r="C3" s="24" t="s">
        <v>2</v>
      </c>
      <c r="D3" s="14" t="s">
        <v>3</v>
      </c>
      <c r="E3" s="14" t="s">
        <v>4</v>
      </c>
      <c r="F3" s="24" t="s">
        <v>5</v>
      </c>
      <c r="G3" s="15" t="s">
        <v>6</v>
      </c>
      <c r="H3" s="41" t="s">
        <v>7</v>
      </c>
      <c r="I3" s="16" t="s">
        <v>8</v>
      </c>
      <c r="K3" s="31" t="s">
        <v>0</v>
      </c>
      <c r="L3" s="13" t="s">
        <v>1</v>
      </c>
      <c r="M3" s="24" t="s">
        <v>2</v>
      </c>
      <c r="N3" s="14" t="s">
        <v>3</v>
      </c>
      <c r="O3" s="14" t="s">
        <v>4</v>
      </c>
      <c r="P3" s="24" t="s">
        <v>5</v>
      </c>
      <c r="Q3" s="15" t="s">
        <v>6</v>
      </c>
      <c r="R3" s="41" t="s">
        <v>7</v>
      </c>
      <c r="S3" s="16" t="s">
        <v>8</v>
      </c>
    </row>
    <row r="4" spans="1:19" ht="24.2" customHeight="1" x14ac:dyDescent="0.25">
      <c r="A4" s="5"/>
      <c r="B4" s="1" t="s">
        <v>13</v>
      </c>
      <c r="C4" s="28" t="str">
        <f>IFERROR(INDEX('selected-lohe'!$A$3:$H$357,MATCH(B4,'selected-lohe'!$G$3:$G$355,0),4)&amp;" "&amp;INDEX('selected-lohe'!$A$3:$H$357,MATCH(B4,'selected-lohe'!$G$3:$G$355,0),3),"")</f>
        <v/>
      </c>
      <c r="D4" s="28" t="str">
        <f>IFERROR(INDEX(#REF!,MATCH(B4,#REF!,0),4)&amp;" "&amp;INDEX(#REF!,MATCH(B4,#REF!,0),3),"")</f>
        <v/>
      </c>
      <c r="E4" s="29"/>
      <c r="F4" s="28" t="str">
        <f>IFERROR(INDEX(#REF!,MATCH(B4,#REF!,0),4)&amp;"  "&amp;INDEX(#REF!,MATCH(B4,#REF!,0),3),"")</f>
        <v/>
      </c>
      <c r="G4" s="3"/>
      <c r="H4" s="4"/>
      <c r="I4" s="6"/>
      <c r="K4" s="5"/>
      <c r="L4" s="1" t="s">
        <v>13</v>
      </c>
      <c r="M4" s="28" t="str">
        <f>IFERROR(INDEX(#REF!,MATCH(L4,#REF!,0),4)&amp;" "&amp;INDEX(#REF!,MATCH(L4,#REF!,0),3),"")</f>
        <v/>
      </c>
      <c r="N4" s="28" t="str">
        <f>IFERROR(INDEX(#REF!,MATCH(L4,#REF!,0),4)&amp;" "&amp;INDEX(#REF!,MATCH(L4,#REF!,0),3),"")</f>
        <v/>
      </c>
      <c r="O4" s="3"/>
      <c r="P4" s="28" t="str">
        <f>IFERROR(INDEX(#REF!,MATCH(L4,#REF!,0),4)&amp;" "&amp;INDEX(#REF!,MATCH(L4,#REF!,0),3),"")</f>
        <v/>
      </c>
      <c r="Q4" s="3"/>
      <c r="R4" s="4"/>
      <c r="S4" s="6"/>
    </row>
    <row r="5" spans="1:19" ht="24.2" customHeight="1" x14ac:dyDescent="0.25">
      <c r="A5" s="5"/>
      <c r="B5" s="1" t="s">
        <v>195</v>
      </c>
      <c r="C5" s="28" t="str">
        <f>IFERROR(INDEX('selected-lohe'!$A$3:$H$357,MATCH(B5,'selected-lohe'!$G$3:$G$355,0),4)&amp;" "&amp;INDEX('selected-lohe'!$A$3:$H$357,MATCH(B5,'selected-lohe'!$G$3:$G$355,0),3),"")</f>
        <v/>
      </c>
      <c r="D5" s="28" t="str">
        <f>IFERROR(INDEX(#REF!,MATCH(B5,#REF!,0),4)&amp;" "&amp;INDEX(#REF!,MATCH(B5,#REF!,0),3),"")</f>
        <v/>
      </c>
      <c r="E5" s="29"/>
      <c r="F5" s="28" t="str">
        <f>IFERROR(INDEX(#REF!,MATCH(B5,#REF!,0),4)&amp;"  "&amp;INDEX(#REF!,MATCH(B5,#REF!,0),3),"")</f>
        <v/>
      </c>
      <c r="G5" s="3"/>
      <c r="H5" s="4"/>
      <c r="I5" s="6"/>
      <c r="K5" s="5"/>
      <c r="L5" s="1" t="s">
        <v>22</v>
      </c>
      <c r="M5" s="28" t="str">
        <f>IFERROR(INDEX(#REF!,MATCH(L5,#REF!,0),4)&amp;" "&amp;INDEX(#REF!,MATCH(L5,#REF!,0),3),"")</f>
        <v/>
      </c>
      <c r="N5" s="28" t="str">
        <f>IFERROR(INDEX(#REF!,MATCH(L5,#REF!,0),4)&amp;" "&amp;INDEX(#REF!,MATCH(L5,#REF!,0),3),"")</f>
        <v/>
      </c>
      <c r="O5" s="3"/>
      <c r="P5" s="28" t="str">
        <f>IFERROR(INDEX(#REF!,MATCH(L5,#REF!,0),4)&amp;" "&amp;INDEX(#REF!,MATCH(L5,#REF!,0),3),"")</f>
        <v/>
      </c>
      <c r="Q5" s="3"/>
      <c r="R5" s="4"/>
      <c r="S5" s="6"/>
    </row>
    <row r="6" spans="1:19" ht="24.2" customHeight="1" x14ac:dyDescent="0.25">
      <c r="A6" s="5"/>
      <c r="B6" s="1" t="s">
        <v>22</v>
      </c>
      <c r="C6" s="28" t="str">
        <f>IFERROR(INDEX('selected-lohe'!$A$3:$H$357,MATCH(B6,'selected-lohe'!$G$3:$G$355,0),4)&amp;" "&amp;INDEX('selected-lohe'!$A$3:$H$357,MATCH(B6,'selected-lohe'!$G$3:$G$355,0),3),"")</f>
        <v/>
      </c>
      <c r="D6" s="28" t="str">
        <f>IFERROR(INDEX(#REF!,MATCH(B6,#REF!,0),4)&amp;" "&amp;INDEX(#REF!,MATCH(B6,#REF!,0),3),"")</f>
        <v/>
      </c>
      <c r="E6" s="29"/>
      <c r="F6" s="28" t="str">
        <f>IFERROR(INDEX(#REF!,MATCH(B6,#REF!,0),4)&amp;"  "&amp;INDEX(#REF!,MATCH(B6,#REF!,0),3),"")</f>
        <v/>
      </c>
      <c r="G6" s="3"/>
      <c r="H6" s="4"/>
      <c r="I6" s="6"/>
      <c r="K6" s="5"/>
      <c r="L6" s="1" t="s">
        <v>25</v>
      </c>
      <c r="M6" s="28" t="str">
        <f>IFERROR(INDEX(#REF!,MATCH(L6,#REF!,0),4)&amp;" "&amp;INDEX(#REF!,MATCH(L6,#REF!,0),3),"")</f>
        <v/>
      </c>
      <c r="N6" s="28" t="str">
        <f>IFERROR(INDEX(#REF!,MATCH(L6,#REF!,0),4)&amp;" "&amp;INDEX(#REF!,MATCH(L6,#REF!,0),3),"")</f>
        <v/>
      </c>
      <c r="O6" s="3"/>
      <c r="P6" s="28" t="str">
        <f>IFERROR(INDEX(#REF!,MATCH(L6,#REF!,0),4)&amp;" "&amp;INDEX(#REF!,MATCH(L6,#REF!,0),3),"")</f>
        <v/>
      </c>
      <c r="Q6" s="3"/>
      <c r="R6" s="4"/>
      <c r="S6" s="6"/>
    </row>
    <row r="7" spans="1:19" ht="24.2" customHeight="1" x14ac:dyDescent="0.25">
      <c r="A7" s="5"/>
      <c r="B7" s="1" t="s">
        <v>23</v>
      </c>
      <c r="C7" s="28" t="str">
        <f>IFERROR(INDEX('selected-lohe'!$A$3:$H$357,MATCH(B7,'selected-lohe'!$G$3:$G$355,0),4)&amp;" "&amp;INDEX('selected-lohe'!$A$3:$H$357,MATCH(B7,'selected-lohe'!$G$3:$G$355,0),3),"")</f>
        <v/>
      </c>
      <c r="D7" s="28" t="str">
        <f>IFERROR(INDEX(#REF!,MATCH(B7,#REF!,0),4)&amp;" "&amp;INDEX(#REF!,MATCH(B7,#REF!,0),3),"")</f>
        <v/>
      </c>
      <c r="E7" s="29"/>
      <c r="F7" s="28" t="str">
        <f>IFERROR(INDEX(#REF!,MATCH(B7,#REF!,0),4)&amp;"  "&amp;INDEX(#REF!,MATCH(B7,#REF!,0),3),"")</f>
        <v/>
      </c>
      <c r="G7" s="3"/>
      <c r="H7" s="4"/>
      <c r="I7" s="6"/>
      <c r="K7" s="5"/>
      <c r="L7" s="1" t="s">
        <v>26</v>
      </c>
      <c r="M7" s="28" t="str">
        <f>IFERROR(INDEX(#REF!,MATCH(L7,#REF!,0),4)&amp;" "&amp;INDEX(#REF!,MATCH(L7,#REF!,0),3),"")</f>
        <v/>
      </c>
      <c r="N7" s="28" t="str">
        <f>IFERROR(INDEX(#REF!,MATCH(L7,#REF!,0),4)&amp;" "&amp;INDEX(#REF!,MATCH(L7,#REF!,0),3),"")</f>
        <v/>
      </c>
      <c r="O7" s="3"/>
      <c r="P7" s="28" t="str">
        <f>IFERROR(INDEX(#REF!,MATCH(L7,#REF!,0),4)&amp;" "&amp;INDEX(#REF!,MATCH(L7,#REF!,0),3),"")</f>
        <v/>
      </c>
      <c r="Q7" s="3"/>
      <c r="R7" s="4"/>
      <c r="S7" s="6"/>
    </row>
    <row r="8" spans="1:19" ht="24.2" customHeight="1" x14ac:dyDescent="0.25">
      <c r="A8" s="5"/>
      <c r="B8" s="1" t="s">
        <v>24</v>
      </c>
      <c r="C8" s="28" t="str">
        <f>IFERROR(INDEX('selected-lohe'!$A$3:$H$357,MATCH(B8,'selected-lohe'!$G$3:$G$355,0),4)&amp;" "&amp;INDEX('selected-lohe'!$A$3:$H$357,MATCH(B8,'selected-lohe'!$G$3:$G$355,0),3),"")</f>
        <v/>
      </c>
      <c r="D8" s="28" t="str">
        <f>IFERROR(INDEX(#REF!,MATCH(B8,#REF!,0),4)&amp;" "&amp;INDEX(#REF!,MATCH(B8,#REF!,0),3),"")</f>
        <v/>
      </c>
      <c r="E8" s="29"/>
      <c r="F8" s="28" t="str">
        <f>IFERROR(INDEX(#REF!,MATCH(B8,#REF!,0),4)&amp;"  "&amp;INDEX(#REF!,MATCH(B8,#REF!,0),3),"")</f>
        <v/>
      </c>
      <c r="G8" s="3"/>
      <c r="H8" s="4"/>
      <c r="I8" s="6"/>
      <c r="K8" s="5"/>
      <c r="L8" s="1" t="s">
        <v>27</v>
      </c>
      <c r="M8" s="28" t="str">
        <f>IFERROR(INDEX(#REF!,MATCH(L8,#REF!,0),4)&amp;" "&amp;INDEX(#REF!,MATCH(L8,#REF!,0),3),"")</f>
        <v/>
      </c>
      <c r="N8" s="28" t="str">
        <f>IFERROR(INDEX(#REF!,MATCH(L8,#REF!,0),4)&amp;" "&amp;INDEX(#REF!,MATCH(L8,#REF!,0),3),"")</f>
        <v/>
      </c>
      <c r="O8" s="3"/>
      <c r="P8" s="28" t="str">
        <f>IFERROR(INDEX(#REF!,MATCH(L8,#REF!,0),4)&amp;" "&amp;INDEX(#REF!,MATCH(L8,#REF!,0),3),"")</f>
        <v/>
      </c>
      <c r="Q8" s="3"/>
      <c r="R8" s="4"/>
      <c r="S8" s="6"/>
    </row>
    <row r="9" spans="1:19" ht="24.2" customHeight="1" x14ac:dyDescent="0.25">
      <c r="A9" s="5"/>
      <c r="B9" s="1" t="s">
        <v>25</v>
      </c>
      <c r="C9" s="28" t="str">
        <f>IFERROR(INDEX('selected-lohe'!$A$3:$H$357,MATCH(B9,'selected-lohe'!$G$3:$G$355,0),4)&amp;" "&amp;INDEX('selected-lohe'!$A$3:$H$357,MATCH(B9,'selected-lohe'!$G$3:$G$355,0),3),"")</f>
        <v/>
      </c>
      <c r="D9" s="28" t="str">
        <f>IFERROR(INDEX(#REF!,MATCH(B9,#REF!,0),4)&amp;" "&amp;INDEX(#REF!,MATCH(B9,#REF!,0),3),"")</f>
        <v/>
      </c>
      <c r="E9" s="29"/>
      <c r="F9" s="28" t="str">
        <f>IFERROR(INDEX(#REF!,MATCH(B9,#REF!,0),4)&amp;"  "&amp;INDEX(#REF!,MATCH(B9,#REF!,0),3),"")</f>
        <v/>
      </c>
      <c r="G9" s="3"/>
      <c r="H9" s="4"/>
      <c r="I9" s="6"/>
      <c r="K9" s="5"/>
      <c r="L9" s="1" t="s">
        <v>28</v>
      </c>
      <c r="M9" s="28" t="str">
        <f>IFERROR(INDEX(#REF!,MATCH(L9,#REF!,0),4)&amp;" "&amp;INDEX(#REF!,MATCH(L9,#REF!,0),3),"")</f>
        <v/>
      </c>
      <c r="N9" s="28" t="str">
        <f>IFERROR(INDEX(#REF!,MATCH(L9,#REF!,0),4)&amp;" "&amp;INDEX(#REF!,MATCH(L9,#REF!,0),3),"")</f>
        <v/>
      </c>
      <c r="O9" s="3"/>
      <c r="P9" s="28" t="str">
        <f>IFERROR(INDEX(#REF!,MATCH(L9,#REF!,0),4)&amp;" "&amp;INDEX(#REF!,MATCH(L9,#REF!,0),3),"")</f>
        <v/>
      </c>
      <c r="Q9" s="3"/>
      <c r="R9" s="4"/>
      <c r="S9" s="6"/>
    </row>
    <row r="10" spans="1:19" ht="24.2" customHeight="1" x14ac:dyDescent="0.25">
      <c r="A10" s="5"/>
      <c r="B10" s="1" t="s">
        <v>26</v>
      </c>
      <c r="C10" s="28" t="str">
        <f>IFERROR(INDEX('selected-lohe'!$A$3:$H$357,MATCH(B10,'selected-lohe'!$G$3:$G$355,0),4)&amp;" "&amp;INDEX('selected-lohe'!$A$3:$H$357,MATCH(B10,'selected-lohe'!$G$3:$G$355,0),3),"")</f>
        <v/>
      </c>
      <c r="D10" s="28" t="str">
        <f>IFERROR(INDEX(#REF!,MATCH(B10,#REF!,0),4)&amp;" "&amp;INDEX(#REF!,MATCH(B10,#REF!,0),3),"")</f>
        <v/>
      </c>
      <c r="E10" s="29"/>
      <c r="F10" s="28" t="str">
        <f>IFERROR(INDEX(#REF!,MATCH(B10,#REF!,0),4)&amp;"  "&amp;INDEX(#REF!,MATCH(B10,#REF!,0),3),"")</f>
        <v/>
      </c>
      <c r="G10" s="3"/>
      <c r="H10" s="4"/>
      <c r="I10" s="6"/>
      <c r="K10" s="5"/>
      <c r="L10" s="1" t="s">
        <v>63</v>
      </c>
      <c r="M10" s="28" t="str">
        <f>IFERROR(INDEX(#REF!,MATCH(L10,#REF!,0),4)&amp;" "&amp;INDEX(#REF!,MATCH(L10,#REF!,0),3),"")</f>
        <v/>
      </c>
      <c r="N10" s="28" t="str">
        <f>IFERROR(INDEX(#REF!,MATCH(L10,#REF!,0),4)&amp;" "&amp;INDEX(#REF!,MATCH(L10,#REF!,0),3),"")</f>
        <v/>
      </c>
      <c r="O10" s="3"/>
      <c r="P10" s="28" t="str">
        <f>IFERROR(INDEX(#REF!,MATCH(L10,#REF!,0),4)&amp;" "&amp;INDEX(#REF!,MATCH(L10,#REF!,0),3),"")</f>
        <v/>
      </c>
      <c r="Q10" s="3"/>
      <c r="R10" s="4"/>
      <c r="S10" s="6"/>
    </row>
    <row r="11" spans="1:19" ht="24.2" customHeight="1" x14ac:dyDescent="0.25">
      <c r="A11" s="5"/>
      <c r="B11" s="1" t="s">
        <v>27</v>
      </c>
      <c r="C11" s="28" t="str">
        <f>IFERROR(INDEX('selected-lohe'!$A$3:$H$357,MATCH(B11,'selected-lohe'!$G$3:$G$355,0),4)&amp;" "&amp;INDEX('selected-lohe'!$A$3:$H$357,MATCH(B11,'selected-lohe'!$G$3:$G$355,0),3),"")</f>
        <v/>
      </c>
      <c r="D11" s="28" t="str">
        <f>IFERROR(INDEX(#REF!,MATCH(B11,#REF!,0),4)&amp;" "&amp;INDEX(#REF!,MATCH(B11,#REF!,0),3),"")</f>
        <v/>
      </c>
      <c r="E11" s="29"/>
      <c r="F11" s="28" t="str">
        <f>IFERROR(INDEX(#REF!,MATCH(B11,#REF!,0),4)&amp;"  "&amp;INDEX(#REF!,MATCH(B11,#REF!,0),3),"")</f>
        <v/>
      </c>
      <c r="G11" s="3"/>
      <c r="H11" s="4"/>
      <c r="I11" s="6"/>
      <c r="K11" s="5"/>
      <c r="L11" s="1" t="s">
        <v>29</v>
      </c>
      <c r="M11" s="28" t="str">
        <f>IFERROR(INDEX(#REF!,MATCH(L11,#REF!,0),4)&amp;" "&amp;INDEX(#REF!,MATCH(L11,#REF!,0),3),"")</f>
        <v/>
      </c>
      <c r="N11" s="28" t="str">
        <f>IFERROR(INDEX(#REF!,MATCH(L11,#REF!,0),4)&amp;" "&amp;INDEX(#REF!,MATCH(L11,#REF!,0),3),"")</f>
        <v/>
      </c>
      <c r="O11" s="3"/>
      <c r="P11" s="28" t="str">
        <f>IFERROR(INDEX(#REF!,MATCH(L11,#REF!,0),4)&amp;" "&amp;INDEX(#REF!,MATCH(L11,#REF!,0),3),"")</f>
        <v/>
      </c>
      <c r="Q11" s="3"/>
      <c r="R11" s="4"/>
      <c r="S11" s="6"/>
    </row>
    <row r="12" spans="1:19" ht="24.2" customHeight="1" x14ac:dyDescent="0.25">
      <c r="A12" s="5"/>
      <c r="B12" s="1" t="s">
        <v>28</v>
      </c>
      <c r="C12" s="28" t="str">
        <f>IFERROR(INDEX('selected-lohe'!$A$3:$H$357,MATCH(B12,'selected-lohe'!$G$3:$G$355,0),4)&amp;" "&amp;INDEX('selected-lohe'!$A$3:$H$357,MATCH(B12,'selected-lohe'!$G$3:$G$355,0),3),"")</f>
        <v/>
      </c>
      <c r="D12" s="28" t="str">
        <f>IFERROR(INDEX(#REF!,MATCH(B12,#REF!,0),4)&amp;" "&amp;INDEX(#REF!,MATCH(B12,#REF!,0),3),"")</f>
        <v/>
      </c>
      <c r="E12" s="29"/>
      <c r="F12" s="28" t="str">
        <f>IFERROR(INDEX(#REF!,MATCH(B12,#REF!,0),4)&amp;"  "&amp;INDEX(#REF!,MATCH(B12,#REF!,0),3),"")</f>
        <v/>
      </c>
      <c r="G12" s="3"/>
      <c r="H12" s="4"/>
      <c r="I12" s="6"/>
      <c r="K12" s="5"/>
      <c r="L12" s="1" t="s">
        <v>30</v>
      </c>
      <c r="M12" s="28" t="str">
        <f>IFERROR(INDEX(#REF!,MATCH(L12,#REF!,0),4)&amp;" "&amp;INDEX(#REF!,MATCH(L12,#REF!,0),3),"")</f>
        <v/>
      </c>
      <c r="N12" s="28" t="str">
        <f>IFERROR(INDEX(#REF!,MATCH(L12,#REF!,0),4)&amp;" "&amp;INDEX(#REF!,MATCH(L12,#REF!,0),3),"")</f>
        <v/>
      </c>
      <c r="O12" s="3"/>
      <c r="P12" s="28" t="str">
        <f>IFERROR(INDEX(#REF!,MATCH(L12,#REF!,0),4)&amp;" "&amp;INDEX(#REF!,MATCH(L12,#REF!,0),3),"")</f>
        <v/>
      </c>
      <c r="Q12" s="3"/>
      <c r="R12" s="4"/>
      <c r="S12" s="6"/>
    </row>
    <row r="13" spans="1:19" ht="24.2" customHeight="1" x14ac:dyDescent="0.25">
      <c r="A13" s="5"/>
      <c r="B13" s="1" t="s">
        <v>63</v>
      </c>
      <c r="C13" s="28" t="str">
        <f>IFERROR(INDEX('selected-lohe'!$A$3:$H$357,MATCH(B13,'selected-lohe'!$G$3:$G$355,0),4)&amp;" "&amp;INDEX('selected-lohe'!$A$3:$H$357,MATCH(B13,'selected-lohe'!$G$3:$G$355,0),3),"")</f>
        <v/>
      </c>
      <c r="D13" s="28" t="str">
        <f>IFERROR(INDEX(#REF!,MATCH(B13,#REF!,0),4)&amp;" "&amp;INDEX(#REF!,MATCH(B13,#REF!,0),3),"")</f>
        <v/>
      </c>
      <c r="E13" s="29"/>
      <c r="F13" s="28" t="str">
        <f>IFERROR(INDEX(#REF!,MATCH(B13,#REF!,0),4)&amp;"  "&amp;INDEX(#REF!,MATCH(B13,#REF!,0),3),"")</f>
        <v/>
      </c>
      <c r="G13" s="3"/>
      <c r="H13" s="4"/>
      <c r="I13" s="6"/>
      <c r="K13" s="5"/>
      <c r="L13" s="1" t="s">
        <v>32</v>
      </c>
      <c r="M13" s="28" t="str">
        <f>IFERROR(INDEX(#REF!,MATCH(L13,#REF!,0),4)&amp;" "&amp;INDEX(#REF!,MATCH(L13,#REF!,0),3),"")</f>
        <v/>
      </c>
      <c r="N13" s="28" t="str">
        <f>IFERROR(INDEX(#REF!,MATCH(L13,#REF!,0),4)&amp;" "&amp;INDEX(#REF!,MATCH(L13,#REF!,0),3),"")</f>
        <v/>
      </c>
      <c r="O13" s="3"/>
      <c r="P13" s="28" t="str">
        <f>IFERROR(INDEX(#REF!,MATCH(L13,#REF!,0),4)&amp;" "&amp;INDEX(#REF!,MATCH(L13,#REF!,0),3),"")</f>
        <v/>
      </c>
      <c r="Q13" s="3"/>
      <c r="R13" s="4"/>
      <c r="S13" s="6"/>
    </row>
    <row r="14" spans="1:19" ht="24.2" customHeight="1" x14ac:dyDescent="0.25">
      <c r="A14" s="5"/>
      <c r="B14" s="1" t="s">
        <v>29</v>
      </c>
      <c r="C14" s="28" t="str">
        <f>IFERROR(INDEX('selected-lohe'!$A$3:$H$357,MATCH(B14,'selected-lohe'!$G$3:$G$355,0),4)&amp;" "&amp;INDEX('selected-lohe'!$A$3:$H$357,MATCH(B14,'selected-lohe'!$G$3:$G$355,0),3),"")</f>
        <v/>
      </c>
      <c r="D14" s="28" t="str">
        <f>IFERROR(INDEX(#REF!,MATCH(B14,#REF!,0),4)&amp;" "&amp;INDEX(#REF!,MATCH(B14,#REF!,0),3),"")</f>
        <v/>
      </c>
      <c r="E14" s="29"/>
      <c r="F14" s="28" t="str">
        <f>IFERROR(INDEX(#REF!,MATCH(B14,#REF!,0),4)&amp;"  "&amp;INDEX(#REF!,MATCH(B14,#REF!,0),3),"")</f>
        <v/>
      </c>
      <c r="G14" s="3"/>
      <c r="H14" s="4"/>
      <c r="I14" s="6"/>
      <c r="K14" s="5"/>
      <c r="L14" s="1" t="s">
        <v>68</v>
      </c>
      <c r="M14" s="28" t="str">
        <f>IFERROR(INDEX(#REF!,MATCH(L14,#REF!,0),4)&amp;" "&amp;INDEX(#REF!,MATCH(L14,#REF!,0),3),"")</f>
        <v/>
      </c>
      <c r="N14" s="28" t="str">
        <f>IFERROR(INDEX(#REF!,MATCH(L14,#REF!,0),4)&amp;" "&amp;INDEX(#REF!,MATCH(L14,#REF!,0),3),"")</f>
        <v/>
      </c>
      <c r="O14" s="3"/>
      <c r="P14" s="28" t="str">
        <f>IFERROR(INDEX(#REF!,MATCH(L14,#REF!,0),4)&amp;" "&amp;INDEX(#REF!,MATCH(L14,#REF!,0),3),"")</f>
        <v/>
      </c>
      <c r="Q14" s="3"/>
      <c r="R14" s="4"/>
      <c r="S14" s="6"/>
    </row>
    <row r="15" spans="1:19" ht="24.2" customHeight="1" x14ac:dyDescent="0.25">
      <c r="A15" s="5"/>
      <c r="B15" s="1" t="s">
        <v>30</v>
      </c>
      <c r="C15" s="28" t="str">
        <f>IFERROR(INDEX('selected-lohe'!$A$3:$H$357,MATCH(B15,'selected-lohe'!$G$3:$G$355,0),4)&amp;" "&amp;INDEX('selected-lohe'!$A$3:$H$357,MATCH(B15,'selected-lohe'!$G$3:$G$355,0),3),"")</f>
        <v/>
      </c>
      <c r="D15" s="28" t="str">
        <f>IFERROR(INDEX(#REF!,MATCH(B15,#REF!,0),4)&amp;" "&amp;INDEX(#REF!,MATCH(B15,#REF!,0),3),"")</f>
        <v/>
      </c>
      <c r="E15" s="29"/>
      <c r="F15" s="28" t="str">
        <f>IFERROR(INDEX(#REF!,MATCH(B15,#REF!,0),4)&amp;"  "&amp;INDEX(#REF!,MATCH(B15,#REF!,0),3),"")</f>
        <v/>
      </c>
      <c r="G15" s="3"/>
      <c r="H15" s="4"/>
      <c r="I15" s="6"/>
      <c r="K15" s="5"/>
      <c r="L15" s="1" t="s">
        <v>33</v>
      </c>
      <c r="M15" s="28" t="str">
        <f>IFERROR(INDEX(#REF!,MATCH(L15,#REF!,0),4)&amp;" "&amp;INDEX(#REF!,MATCH(L15,#REF!,0),3),"")</f>
        <v/>
      </c>
      <c r="N15" s="28" t="str">
        <f>IFERROR(INDEX(#REF!,MATCH(L15,#REF!,0),4)&amp;" "&amp;INDEX(#REF!,MATCH(L15,#REF!,0),3),"")</f>
        <v/>
      </c>
      <c r="O15" s="3"/>
      <c r="P15" s="28" t="str">
        <f>IFERROR(INDEX(#REF!,MATCH(L15,#REF!,0),4)&amp;" "&amp;INDEX(#REF!,MATCH(L15,#REF!,0),3),"")</f>
        <v/>
      </c>
      <c r="Q15" s="3"/>
      <c r="R15" s="4"/>
      <c r="S15" s="6"/>
    </row>
    <row r="16" spans="1:19" ht="24.2" customHeight="1" x14ac:dyDescent="0.25">
      <c r="A16" s="5"/>
      <c r="B16" s="1" t="s">
        <v>31</v>
      </c>
      <c r="C16" s="28" t="str">
        <f>IFERROR(INDEX('selected-lohe'!$A$3:$H$357,MATCH(B16,'selected-lohe'!$G$3:$G$355,0),4)&amp;" "&amp;INDEX('selected-lohe'!$A$3:$H$357,MATCH(B16,'selected-lohe'!$G$3:$G$355,0),3),"")</f>
        <v/>
      </c>
      <c r="D16" s="28" t="str">
        <f>IFERROR(INDEX(#REF!,MATCH(B16,#REF!,0),4)&amp;" "&amp;INDEX(#REF!,MATCH(B16,#REF!,0),3),"")</f>
        <v/>
      </c>
      <c r="E16" s="29"/>
      <c r="F16" s="28" t="str">
        <f>IFERROR(INDEX(#REF!,MATCH(B16,#REF!,0),4)&amp;"  "&amp;INDEX(#REF!,MATCH(B16,#REF!,0),3),"")</f>
        <v/>
      </c>
      <c r="G16" s="3"/>
      <c r="H16" s="4"/>
      <c r="I16" s="6"/>
      <c r="K16" s="5"/>
      <c r="L16" s="1" t="s">
        <v>34</v>
      </c>
      <c r="M16" s="28" t="str">
        <f>IFERROR(INDEX(#REF!,MATCH(L16,#REF!,0),4)&amp;" "&amp;INDEX(#REF!,MATCH(L16,#REF!,0),3),"")</f>
        <v/>
      </c>
      <c r="N16" s="28" t="str">
        <f>IFERROR(INDEX(#REF!,MATCH(L16,#REF!,0),4)&amp;" "&amp;INDEX(#REF!,MATCH(L16,#REF!,0),3),"")</f>
        <v/>
      </c>
      <c r="O16" s="3"/>
      <c r="P16" s="28" t="str">
        <f>IFERROR(INDEX(#REF!,MATCH(L16,#REF!,0),4)&amp;" "&amp;INDEX(#REF!,MATCH(L16,#REF!,0),3),"")</f>
        <v/>
      </c>
      <c r="Q16" s="3"/>
      <c r="R16" s="4"/>
      <c r="S16" s="6"/>
    </row>
    <row r="17" spans="1:47" ht="24.2" customHeight="1" x14ac:dyDescent="0.25">
      <c r="A17" s="5"/>
      <c r="B17" s="1" t="s">
        <v>32</v>
      </c>
      <c r="C17" s="28" t="str">
        <f>IFERROR(INDEX('selected-lohe'!$A$3:$H$357,MATCH(B17,'selected-lohe'!$G$3:$G$355,0),4)&amp;" "&amp;INDEX('selected-lohe'!$A$3:$H$357,MATCH(B17,'selected-lohe'!$G$3:$G$355,0),3),"")</f>
        <v/>
      </c>
      <c r="D17" s="28" t="str">
        <f>IFERROR(INDEX(#REF!,MATCH(B17,#REF!,0),4)&amp;" "&amp;INDEX(#REF!,MATCH(B17,#REF!,0),3),"")</f>
        <v/>
      </c>
      <c r="E17" s="29"/>
      <c r="F17" s="28" t="str">
        <f>IFERROR(INDEX(#REF!,MATCH(B17,#REF!,0),4)&amp;"  "&amp;INDEX(#REF!,MATCH(B17,#REF!,0),3),"")</f>
        <v/>
      </c>
      <c r="G17" s="3"/>
      <c r="H17" s="4"/>
      <c r="I17" s="6"/>
      <c r="K17" s="5"/>
      <c r="L17" s="1" t="s">
        <v>35</v>
      </c>
      <c r="M17" s="28" t="str">
        <f>IFERROR(INDEX(#REF!,MATCH(L17,#REF!,0),4)&amp;" "&amp;INDEX(#REF!,MATCH(L17,#REF!,0),3),"")</f>
        <v/>
      </c>
      <c r="N17" s="28" t="str">
        <f>IFERROR(INDEX(#REF!,MATCH(L17,#REF!,0),4)&amp;" "&amp;INDEX(#REF!,MATCH(L17,#REF!,0),3),"")</f>
        <v/>
      </c>
      <c r="O17" s="3"/>
      <c r="P17" s="28" t="str">
        <f>IFERROR(INDEX(#REF!,MATCH(L17,#REF!,0),4)&amp;" "&amp;INDEX(#REF!,MATCH(L17,#REF!,0),3),"")</f>
        <v/>
      </c>
      <c r="Q17" s="3"/>
      <c r="R17" s="4"/>
      <c r="S17" s="6"/>
    </row>
    <row r="18" spans="1:47" ht="24.2" customHeight="1" x14ac:dyDescent="0.25">
      <c r="A18" s="5"/>
      <c r="B18" s="1" t="s">
        <v>68</v>
      </c>
      <c r="C18" s="28" t="str">
        <f>IFERROR(INDEX('selected-lohe'!$A$3:$H$357,MATCH(B18,'selected-lohe'!$G$3:$G$355,0),4)&amp;" "&amp;INDEX('selected-lohe'!$A$3:$H$357,MATCH(B18,'selected-lohe'!$G$3:$G$355,0),3),"")</f>
        <v/>
      </c>
      <c r="D18" s="28" t="str">
        <f>IFERROR(INDEX(#REF!,MATCH(B18,#REF!,0),4)&amp;" "&amp;INDEX(#REF!,MATCH(B18,#REF!,0),3),"")</f>
        <v/>
      </c>
      <c r="E18" s="29"/>
      <c r="F18" s="28" t="str">
        <f>IFERROR(INDEX(#REF!,MATCH(B18,#REF!,0),4)&amp;"  "&amp;INDEX(#REF!,MATCH(B18,#REF!,0),3),"")</f>
        <v/>
      </c>
      <c r="G18" s="3"/>
      <c r="H18" s="4"/>
      <c r="I18" s="6"/>
      <c r="K18" s="5"/>
      <c r="L18" s="1" t="s">
        <v>36</v>
      </c>
      <c r="M18" s="28" t="str">
        <f>IFERROR(INDEX(#REF!,MATCH(L18,#REF!,0),4)&amp;" "&amp;INDEX(#REF!,MATCH(L18,#REF!,0),3),"")</f>
        <v/>
      </c>
      <c r="N18" s="28" t="str">
        <f>IFERROR(INDEX(#REF!,MATCH(L18,#REF!,0),4)&amp;" "&amp;INDEX(#REF!,MATCH(L18,#REF!,0),3),"")</f>
        <v/>
      </c>
      <c r="O18" s="3"/>
      <c r="P18" s="28" t="str">
        <f>IFERROR(INDEX(#REF!,MATCH(L18,#REF!,0),4)&amp;" "&amp;INDEX(#REF!,MATCH(L18,#REF!,0),3),"")</f>
        <v/>
      </c>
      <c r="Q18" s="3"/>
      <c r="R18" s="4"/>
      <c r="S18" s="6"/>
    </row>
    <row r="19" spans="1:47" ht="24.2" customHeight="1" x14ac:dyDescent="0.25">
      <c r="A19" s="5"/>
      <c r="B19" s="1" t="s">
        <v>33</v>
      </c>
      <c r="C19" s="28" t="str">
        <f>IFERROR(INDEX('selected-lohe'!$A$3:$H$357,MATCH(B19,'selected-lohe'!$G$3:$G$355,0),4)&amp;" "&amp;INDEX('selected-lohe'!$A$3:$H$357,MATCH(B19,'selected-lohe'!$G$3:$G$355,0),3),"")</f>
        <v/>
      </c>
      <c r="D19" s="28" t="str">
        <f>IFERROR(INDEX(#REF!,MATCH(B19,#REF!,0),4)&amp;" "&amp;INDEX(#REF!,MATCH(B19,#REF!,0),3),"")</f>
        <v/>
      </c>
      <c r="E19" s="29"/>
      <c r="F19" s="28" t="str">
        <f>IFERROR(INDEX(#REF!,MATCH(B19,#REF!,0),4)&amp;"  "&amp;INDEX(#REF!,MATCH(B19,#REF!,0),3),"")</f>
        <v/>
      </c>
      <c r="G19" s="3"/>
      <c r="H19" s="4"/>
      <c r="I19" s="6"/>
      <c r="K19" s="5"/>
      <c r="L19" s="1" t="s">
        <v>37</v>
      </c>
      <c r="M19" s="28" t="str">
        <f>IFERROR(INDEX(#REF!,MATCH(L19,#REF!,0),4)&amp;" "&amp;INDEX(#REF!,MATCH(L19,#REF!,0),3),"")</f>
        <v/>
      </c>
      <c r="N19" s="28" t="str">
        <f>IFERROR(INDEX(#REF!,MATCH(L19,#REF!,0),4)&amp;" "&amp;INDEX(#REF!,MATCH(L19,#REF!,0),3),"")</f>
        <v/>
      </c>
      <c r="O19" s="3"/>
      <c r="P19" s="28" t="str">
        <f>IFERROR(INDEX(#REF!,MATCH(L19,#REF!,0),4)&amp;" "&amp;INDEX(#REF!,MATCH(L19,#REF!,0),3),"")</f>
        <v/>
      </c>
      <c r="Q19" s="3"/>
      <c r="R19" s="4"/>
      <c r="S19" s="6"/>
    </row>
    <row r="20" spans="1:47" ht="24.2" customHeight="1" x14ac:dyDescent="0.25">
      <c r="A20" s="5"/>
      <c r="B20" s="1" t="s">
        <v>34</v>
      </c>
      <c r="C20" s="28" t="str">
        <f>IFERROR(INDEX('selected-lohe'!$A$3:$H$357,MATCH(B20,'selected-lohe'!$G$3:$G$355,0),4)&amp;" "&amp;INDEX('selected-lohe'!$A$3:$H$357,MATCH(B20,'selected-lohe'!$G$3:$G$355,0),3),"")</f>
        <v/>
      </c>
      <c r="D20" s="28" t="str">
        <f>IFERROR(INDEX(#REF!,MATCH(B20,#REF!,0),4)&amp;" "&amp;INDEX(#REF!,MATCH(B20,#REF!,0),3),"")</f>
        <v/>
      </c>
      <c r="E20" s="29"/>
      <c r="F20" s="28" t="str">
        <f>IFERROR(INDEX(#REF!,MATCH(B20,#REF!,0),4)&amp;"  "&amp;INDEX(#REF!,MATCH(B20,#REF!,0),3),"")</f>
        <v/>
      </c>
      <c r="G20" s="3"/>
      <c r="H20" s="4"/>
      <c r="I20" s="6"/>
      <c r="K20" s="5"/>
      <c r="L20" s="1" t="s">
        <v>80</v>
      </c>
      <c r="M20" s="28" t="str">
        <f>IFERROR(INDEX(#REF!,MATCH(L20,#REF!,0),4)&amp;" "&amp;INDEX(#REF!,MATCH(L20,#REF!,0),3),"")</f>
        <v/>
      </c>
      <c r="N20" s="28" t="str">
        <f>IFERROR(INDEX(#REF!,MATCH(L20,#REF!,0),4)&amp;" "&amp;INDEX(#REF!,MATCH(L20,#REF!,0),3),"")</f>
        <v/>
      </c>
      <c r="O20" s="3"/>
      <c r="P20" s="28" t="str">
        <f>IFERROR(INDEX(#REF!,MATCH(L20,#REF!,0),4)&amp;" "&amp;INDEX(#REF!,MATCH(L20,#REF!,0),3),"")</f>
        <v/>
      </c>
      <c r="Q20" s="3"/>
      <c r="R20" s="4"/>
      <c r="S20" s="6"/>
    </row>
    <row r="21" spans="1:47" ht="24.2" customHeight="1" x14ac:dyDescent="0.25">
      <c r="A21" s="5"/>
      <c r="B21" s="1" t="s">
        <v>35</v>
      </c>
      <c r="C21" s="28" t="str">
        <f>IFERROR(INDEX('selected-lohe'!$A$3:$H$357,MATCH(B21,'selected-lohe'!$G$3:$G$355,0),4)&amp;" "&amp;INDEX('selected-lohe'!$A$3:$H$357,MATCH(B21,'selected-lohe'!$G$3:$G$355,0),3),"")</f>
        <v/>
      </c>
      <c r="D21" s="28" t="str">
        <f>IFERROR(INDEX(#REF!,MATCH(B21,#REF!,0),4)&amp;" "&amp;INDEX(#REF!,MATCH(B21,#REF!,0),3),"")</f>
        <v/>
      </c>
      <c r="E21" s="29"/>
      <c r="F21" s="28" t="str">
        <f>IFERROR(INDEX(#REF!,MATCH(B21,#REF!,0),4)&amp;"  "&amp;INDEX(#REF!,MATCH(B21,#REF!,0),3),"")</f>
        <v/>
      </c>
      <c r="G21" s="3"/>
      <c r="H21" s="4"/>
      <c r="I21" s="6"/>
      <c r="K21" s="5"/>
      <c r="L21" s="1" t="s">
        <v>82</v>
      </c>
      <c r="M21" s="28" t="str">
        <f>IFERROR(INDEX(#REF!,MATCH(L21,#REF!,0),4)&amp;" "&amp;INDEX(#REF!,MATCH(L21,#REF!,0),3),"")</f>
        <v/>
      </c>
      <c r="N21" s="28" t="str">
        <f>IFERROR(INDEX(#REF!,MATCH(L21,#REF!,0),4)&amp;" "&amp;INDEX(#REF!,MATCH(L21,#REF!,0),3),"")</f>
        <v/>
      </c>
      <c r="O21" s="3"/>
      <c r="P21" s="28" t="str">
        <f>IFERROR(INDEX(#REF!,MATCH(L21,#REF!,0),4)&amp;" "&amp;INDEX(#REF!,MATCH(L21,#REF!,0),3),"")</f>
        <v/>
      </c>
      <c r="Q21" s="3"/>
      <c r="R21" s="4"/>
      <c r="S21" s="6"/>
    </row>
    <row r="22" spans="1:47" ht="24.2" customHeight="1" x14ac:dyDescent="0.25">
      <c r="A22" s="5"/>
      <c r="B22" s="1" t="s">
        <v>36</v>
      </c>
      <c r="C22" s="28" t="str">
        <f>IFERROR(INDEX('selected-lohe'!$A$3:$H$357,MATCH(B22,'selected-lohe'!$G$3:$G$355,0),4)&amp;" "&amp;INDEX('selected-lohe'!$A$3:$H$357,MATCH(B22,'selected-lohe'!$G$3:$G$355,0),3),"")</f>
        <v/>
      </c>
      <c r="D22" s="28" t="str">
        <f>IFERROR(INDEX(#REF!,MATCH(B22,#REF!,0),4)&amp;" "&amp;INDEX(#REF!,MATCH(B22,#REF!,0),3),"")</f>
        <v/>
      </c>
      <c r="E22" s="29"/>
      <c r="F22" s="28" t="str">
        <f>IFERROR(INDEX(#REF!,MATCH(B22,#REF!,0),4)&amp;"  "&amp;INDEX(#REF!,MATCH(B22,#REF!,0),3),"")</f>
        <v/>
      </c>
      <c r="G22" s="3"/>
      <c r="H22" s="4"/>
      <c r="I22" s="6"/>
      <c r="K22" s="5"/>
      <c r="L22" s="1" t="s">
        <v>83</v>
      </c>
      <c r="M22" s="28" t="str">
        <f>IFERROR(INDEX(#REF!,MATCH(L22,#REF!,0),4)&amp;" "&amp;INDEX(#REF!,MATCH(L22,#REF!,0),3),"")</f>
        <v/>
      </c>
      <c r="N22" s="28" t="str">
        <f>IFERROR(INDEX(#REF!,MATCH(L22,#REF!,0),4)&amp;" "&amp;INDEX(#REF!,MATCH(L22,#REF!,0),3),"")</f>
        <v/>
      </c>
      <c r="O22" s="3"/>
      <c r="P22" s="28" t="str">
        <f>IFERROR(INDEX(#REF!,MATCH(L22,#REF!,0),4)&amp;" "&amp;INDEX(#REF!,MATCH(L22,#REF!,0),3),"")</f>
        <v/>
      </c>
      <c r="Q22" s="3"/>
      <c r="R22" s="4"/>
      <c r="S22" s="6"/>
    </row>
    <row r="23" spans="1:47" ht="24.2" customHeight="1" x14ac:dyDescent="0.25">
      <c r="A23" s="5"/>
      <c r="B23" s="1" t="s">
        <v>37</v>
      </c>
      <c r="C23" s="28" t="str">
        <f>IFERROR(INDEX('selected-lohe'!$A$3:$H$357,MATCH(B23,'selected-lohe'!$G$3:$G$355,0),4)&amp;" "&amp;INDEX('selected-lohe'!$A$3:$H$357,MATCH(B23,'selected-lohe'!$G$3:$G$355,0),3),"")</f>
        <v/>
      </c>
      <c r="D23" s="28" t="str">
        <f>IFERROR(INDEX(#REF!,MATCH(B23,#REF!,0),4)&amp;" "&amp;INDEX(#REF!,MATCH(B23,#REF!,0),3),"")</f>
        <v/>
      </c>
      <c r="E23" s="29"/>
      <c r="F23" s="28" t="str">
        <f>IFERROR(INDEX(#REF!,MATCH(B23,#REF!,0),4)&amp;"  "&amp;INDEX(#REF!,MATCH(B23,#REF!,0),3),"")</f>
        <v/>
      </c>
      <c r="G23" s="3"/>
      <c r="H23" s="4"/>
      <c r="I23" s="6"/>
      <c r="K23" s="5"/>
      <c r="L23" s="1" t="s">
        <v>84</v>
      </c>
      <c r="M23" s="28" t="str">
        <f>IFERROR(INDEX(#REF!,MATCH(L23,#REF!,0),4)&amp;" "&amp;INDEX(#REF!,MATCH(L23,#REF!,0),3),"")</f>
        <v/>
      </c>
      <c r="N23" s="28" t="str">
        <f>IFERROR(INDEX(#REF!,MATCH(L23,#REF!,0),4)&amp;" "&amp;INDEX(#REF!,MATCH(L23,#REF!,0),3),"")</f>
        <v/>
      </c>
      <c r="O23" s="3"/>
      <c r="P23" s="28" t="str">
        <f>IFERROR(INDEX(#REF!,MATCH(L23,#REF!,0),4)&amp;" "&amp;INDEX(#REF!,MATCH(L23,#REF!,0),3),"")</f>
        <v/>
      </c>
      <c r="Q23" s="3"/>
      <c r="R23" s="4"/>
      <c r="S23" s="6"/>
    </row>
    <row r="24" spans="1:47" ht="24.2" customHeight="1" x14ac:dyDescent="0.25">
      <c r="A24" s="5"/>
      <c r="B24" s="1" t="s">
        <v>80</v>
      </c>
      <c r="C24" s="28" t="str">
        <f>IFERROR(INDEX('selected-lohe'!$A$3:$H$357,MATCH(B24,'selected-lohe'!$G$3:$G$355,0),4)&amp;" "&amp;INDEX('selected-lohe'!$A$3:$H$357,MATCH(B24,'selected-lohe'!$G$3:$G$355,0),3),"")</f>
        <v/>
      </c>
      <c r="D24" s="28" t="str">
        <f>IFERROR(INDEX(#REF!,MATCH(B24,#REF!,0),4)&amp;" "&amp;INDEX(#REF!,MATCH(B24,#REF!,0),3),"")</f>
        <v/>
      </c>
      <c r="E24" s="29"/>
      <c r="F24" s="28" t="str">
        <f>IFERROR(INDEX(#REF!,MATCH(B24,#REF!,0),4)&amp;"  "&amp;INDEX(#REF!,MATCH(B24,#REF!,0),3),"")</f>
        <v/>
      </c>
      <c r="G24" s="3"/>
      <c r="H24" s="4"/>
      <c r="I24" s="6"/>
      <c r="K24" s="5"/>
      <c r="L24" s="1" t="s">
        <v>86</v>
      </c>
      <c r="M24" s="28" t="str">
        <f>IFERROR(INDEX(#REF!,MATCH(L24,#REF!,0),4)&amp;" "&amp;INDEX(#REF!,MATCH(L24,#REF!,0),3),"")</f>
        <v/>
      </c>
      <c r="N24" s="28" t="str">
        <f>IFERROR(INDEX(#REF!,MATCH(L24,#REF!,0),4)&amp;" "&amp;INDEX(#REF!,MATCH(L24,#REF!,0),3),"")</f>
        <v/>
      </c>
      <c r="O24" s="3"/>
      <c r="P24" s="28" t="str">
        <f>IFERROR(INDEX(#REF!,MATCH(L24,#REF!,0),4)&amp;" "&amp;INDEX(#REF!,MATCH(L24,#REF!,0),3),"")</f>
        <v/>
      </c>
      <c r="Q24" s="3"/>
      <c r="R24" s="4"/>
      <c r="S24" s="6"/>
    </row>
    <row r="25" spans="1:47" ht="24.2" customHeight="1" x14ac:dyDescent="0.25">
      <c r="A25" s="5"/>
      <c r="B25" s="1" t="s">
        <v>82</v>
      </c>
      <c r="C25" s="28" t="str">
        <f>IFERROR(INDEX('selected-lohe'!$A$3:$H$357,MATCH(B25,'selected-lohe'!$G$3:$G$355,0),4)&amp;" "&amp;INDEX('selected-lohe'!$A$3:$H$357,MATCH(B25,'selected-lohe'!$G$3:$G$355,0),3),"")</f>
        <v/>
      </c>
      <c r="D25" s="28" t="str">
        <f>IFERROR(INDEX(#REF!,MATCH(B25,#REF!,0),4)&amp;" "&amp;INDEX(#REF!,MATCH(B25,#REF!,0),3),"")</f>
        <v/>
      </c>
      <c r="E25" s="29"/>
      <c r="F25" s="28" t="str">
        <f>IFERROR(INDEX(#REF!,MATCH(B25,#REF!,0),4)&amp;"  "&amp;INDEX(#REF!,MATCH(B25,#REF!,0),3),"")</f>
        <v/>
      </c>
      <c r="G25" s="3"/>
      <c r="H25" s="4"/>
      <c r="I25" s="6"/>
      <c r="K25" s="5"/>
      <c r="L25" s="1" t="s">
        <v>87</v>
      </c>
      <c r="M25" s="28" t="str">
        <f>IFERROR(INDEX(#REF!,MATCH(L25,#REF!,0),4)&amp;" "&amp;INDEX(#REF!,MATCH(L25,#REF!,0),3),"")</f>
        <v/>
      </c>
      <c r="N25" s="28" t="str">
        <f>IFERROR(INDEX(#REF!,MATCH(L25,#REF!,0),4)&amp;" "&amp;INDEX(#REF!,MATCH(L25,#REF!,0),3),"")</f>
        <v/>
      </c>
      <c r="O25" s="3"/>
      <c r="P25" s="28" t="str">
        <f>IFERROR(INDEX(#REF!,MATCH(L25,#REF!,0),4)&amp;" "&amp;INDEX(#REF!,MATCH(L25,#REF!,0),3),"")</f>
        <v/>
      </c>
      <c r="Q25" s="3"/>
      <c r="R25" s="4"/>
      <c r="S25" s="6"/>
    </row>
    <row r="26" spans="1:47" ht="24.2" customHeight="1" x14ac:dyDescent="0.25">
      <c r="A26" s="5"/>
      <c r="B26" s="1" t="s">
        <v>83</v>
      </c>
      <c r="C26" s="28" t="str">
        <f>IFERROR(INDEX('selected-lohe'!$A$3:$H$357,MATCH(B26,'selected-lohe'!$G$3:$G$355,0),4)&amp;" "&amp;INDEX('selected-lohe'!$A$3:$H$357,MATCH(B26,'selected-lohe'!$G$3:$G$355,0),3),"")</f>
        <v/>
      </c>
      <c r="D26" s="28" t="str">
        <f>IFERROR(INDEX(#REF!,MATCH(B26,#REF!,0),4)&amp;" "&amp;INDEX(#REF!,MATCH(B26,#REF!,0),3),"")</f>
        <v/>
      </c>
      <c r="E26" s="29"/>
      <c r="F26" s="28" t="str">
        <f>IFERROR(INDEX(#REF!,MATCH(B26,#REF!,0),4)&amp;"  "&amp;INDEX(#REF!,MATCH(B26,#REF!,0),3),"")</f>
        <v/>
      </c>
      <c r="G26" s="3"/>
      <c r="H26" s="4"/>
      <c r="I26" s="6"/>
      <c r="K26" s="5"/>
      <c r="L26" s="1" t="s">
        <v>89</v>
      </c>
      <c r="M26" s="28" t="str">
        <f>IFERROR(INDEX(#REF!,MATCH(L26,#REF!,0),4)&amp;" "&amp;INDEX(#REF!,MATCH(L26,#REF!,0),3),"")</f>
        <v/>
      </c>
      <c r="N26" s="28" t="str">
        <f>IFERROR(INDEX(#REF!,MATCH(L26,#REF!,0),4)&amp;" "&amp;INDEX(#REF!,MATCH(L26,#REF!,0),3),"")</f>
        <v/>
      </c>
      <c r="O26" s="3"/>
      <c r="P26" s="28" t="str">
        <f>IFERROR(INDEX(#REF!,MATCH(L26,#REF!,0),4)&amp;" "&amp;INDEX(#REF!,MATCH(L26,#REF!,0),3),"")</f>
        <v/>
      </c>
      <c r="Q26" s="3"/>
      <c r="R26" s="4"/>
      <c r="S26" s="6"/>
    </row>
    <row r="27" spans="1:47" ht="24.2" customHeight="1" x14ac:dyDescent="0.25">
      <c r="A27" s="5"/>
      <c r="B27" s="1" t="s">
        <v>84</v>
      </c>
      <c r="C27" s="28" t="str">
        <f>IFERROR(INDEX('selected-lohe'!$A$3:$H$357,MATCH(B27,'selected-lohe'!$G$3:$G$355,0),4)&amp;" "&amp;INDEX('selected-lohe'!$A$3:$H$357,MATCH(B27,'selected-lohe'!$G$3:$G$355,0),3),"")</f>
        <v/>
      </c>
      <c r="D27" s="28" t="str">
        <f>IFERROR(INDEX(#REF!,MATCH(B27,#REF!,0),4)&amp;" "&amp;INDEX(#REF!,MATCH(B27,#REF!,0),3),"")</f>
        <v/>
      </c>
      <c r="E27" s="29"/>
      <c r="F27" s="28" t="str">
        <f>IFERROR(INDEX(#REF!,MATCH(B27,#REF!,0),4)&amp;"  "&amp;INDEX(#REF!,MATCH(B27,#REF!,0),3),"")</f>
        <v/>
      </c>
      <c r="G27" s="3"/>
      <c r="H27" s="4"/>
      <c r="I27" s="6"/>
      <c r="K27" s="5"/>
      <c r="L27" s="1" t="s">
        <v>91</v>
      </c>
      <c r="M27" s="28" t="str">
        <f>IFERROR(INDEX(#REF!,MATCH(L27,#REF!,0),4)&amp;" "&amp;INDEX(#REF!,MATCH(L27,#REF!,0),3),"")</f>
        <v/>
      </c>
      <c r="N27" s="28" t="str">
        <f>IFERROR(INDEX(#REF!,MATCH(L27,#REF!,0),4)&amp;" "&amp;INDEX(#REF!,MATCH(L27,#REF!,0),3),"")</f>
        <v/>
      </c>
      <c r="O27" s="3"/>
      <c r="P27" s="28" t="str">
        <f>IFERROR(INDEX(#REF!,MATCH(L27,#REF!,0),4)&amp;" "&amp;INDEX(#REF!,MATCH(L27,#REF!,0),3),"")</f>
        <v/>
      </c>
      <c r="Q27" s="3"/>
      <c r="R27" s="4"/>
      <c r="S27" s="6"/>
    </row>
    <row r="28" spans="1:47" ht="24.2" customHeight="1" x14ac:dyDescent="0.25">
      <c r="A28" s="5"/>
      <c r="B28" s="1" t="s">
        <v>86</v>
      </c>
      <c r="C28" s="28" t="str">
        <f>IFERROR(INDEX('selected-lohe'!$A$3:$H$357,MATCH(B28,'selected-lohe'!$G$3:$G$355,0),4)&amp;" "&amp;INDEX('selected-lohe'!$A$3:$H$357,MATCH(B28,'selected-lohe'!$G$3:$G$355,0),3),"")</f>
        <v/>
      </c>
      <c r="D28" s="28" t="str">
        <f>IFERROR(INDEX(#REF!,MATCH(B28,#REF!,0),4)&amp;" "&amp;INDEX(#REF!,MATCH(B28,#REF!,0),3),"")</f>
        <v/>
      </c>
      <c r="E28" s="29"/>
      <c r="F28" s="28" t="str">
        <f>IFERROR(INDEX(#REF!,MATCH(B28,#REF!,0),4)&amp;"  "&amp;INDEX(#REF!,MATCH(B28,#REF!,0),3),"")</f>
        <v/>
      </c>
      <c r="G28" s="3"/>
      <c r="H28" s="4"/>
      <c r="I28" s="6"/>
      <c r="K28" s="5"/>
      <c r="L28" s="1" t="s">
        <v>171</v>
      </c>
      <c r="M28" s="28" t="str">
        <f>IFERROR(INDEX(#REF!,MATCH(L28,#REF!,0),4)&amp;" "&amp;INDEX(#REF!,MATCH(L28,#REF!,0),3),"")</f>
        <v/>
      </c>
      <c r="N28" s="28" t="str">
        <f>IFERROR(INDEX(#REF!,MATCH(L28,#REF!,0),4)&amp;" "&amp;INDEX(#REF!,MATCH(L28,#REF!,0),3),"")</f>
        <v/>
      </c>
      <c r="O28" s="3"/>
      <c r="P28" s="28" t="str">
        <f>IFERROR(INDEX(#REF!,MATCH(L28,#REF!,0),4)&amp;" "&amp;INDEX(#REF!,MATCH(L28,#REF!,0),3),"")</f>
        <v/>
      </c>
      <c r="Q28" s="3"/>
      <c r="R28" s="4"/>
      <c r="S28" s="6"/>
    </row>
    <row r="29" spans="1:47" ht="24.2" customHeight="1" x14ac:dyDescent="0.25">
      <c r="A29" s="5"/>
      <c r="B29" s="1" t="s">
        <v>170</v>
      </c>
      <c r="C29" s="28" t="str">
        <f>IFERROR(INDEX('selected-lohe'!$A$3:$H$357,MATCH(B29,'selected-lohe'!$G$3:$G$355,0),4)&amp;" "&amp;INDEX('selected-lohe'!$A$3:$H$357,MATCH(B29,'selected-lohe'!$G$3:$G$355,0),3),"")</f>
        <v/>
      </c>
      <c r="D29" s="28" t="str">
        <f>IFERROR(INDEX(#REF!,MATCH(B29,#REF!,0),4)&amp;" "&amp;INDEX(#REF!,MATCH(B29,#REF!,0),3),"")</f>
        <v/>
      </c>
      <c r="E29" s="29"/>
      <c r="F29" s="28" t="str">
        <f>IFERROR(INDEX(#REF!,MATCH(B29,#REF!,0),4)&amp;"  "&amp;INDEX(#REF!,MATCH(B29,#REF!,0),3),"")</f>
        <v/>
      </c>
      <c r="G29" s="3"/>
      <c r="H29" s="4"/>
      <c r="I29" s="6"/>
      <c r="K29" s="5"/>
      <c r="L29" s="1" t="s">
        <v>94</v>
      </c>
      <c r="M29" s="28" t="str">
        <f>IFERROR(INDEX(#REF!,MATCH(L29,#REF!,0),4)&amp;" "&amp;INDEX(#REF!,MATCH(L29,#REF!,0),3),"")</f>
        <v/>
      </c>
      <c r="N29" s="28" t="str">
        <f>IFERROR(INDEX(#REF!,MATCH(L29,#REF!,0),4)&amp;" "&amp;INDEX(#REF!,MATCH(L29,#REF!,0),3),"")</f>
        <v/>
      </c>
      <c r="O29" s="3"/>
      <c r="P29" s="28" t="str">
        <f>IFERROR(INDEX(#REF!,MATCH(L29,#REF!,0),4)&amp;" "&amp;INDEX(#REF!,MATCH(L29,#REF!,0),3),"")</f>
        <v/>
      </c>
      <c r="Q29" s="3"/>
      <c r="R29" s="4"/>
      <c r="S29" s="6"/>
    </row>
    <row r="30" spans="1:47" ht="24.2" customHeight="1" x14ac:dyDescent="0.25">
      <c r="A30" s="5"/>
      <c r="B30" s="1" t="s">
        <v>91</v>
      </c>
      <c r="C30" s="28" t="str">
        <f>IFERROR(INDEX('selected-lohe'!$A$3:$H$357,MATCH(B30,'selected-lohe'!$G$3:$G$355,0),4)&amp;" "&amp;INDEX('selected-lohe'!$A$3:$H$357,MATCH(B30,'selected-lohe'!$G$3:$G$355,0),3),"")</f>
        <v/>
      </c>
      <c r="D30" s="28" t="str">
        <f>IFERROR(INDEX(#REF!,MATCH(B30,#REF!,0),4)&amp;" "&amp;INDEX(#REF!,MATCH(B30,#REF!,0),3),"")</f>
        <v/>
      </c>
      <c r="E30" s="29"/>
      <c r="F30" s="28" t="str">
        <f>IFERROR(INDEX(#REF!,MATCH(B30,#REF!,0),4)&amp;"  "&amp;INDEX(#REF!,MATCH(B30,#REF!,0),3),"")</f>
        <v/>
      </c>
      <c r="G30" s="3"/>
      <c r="H30" s="4"/>
      <c r="I30" s="6"/>
      <c r="K30" s="5"/>
      <c r="L30" s="1" t="s">
        <v>97</v>
      </c>
      <c r="M30" s="28" t="str">
        <f>IFERROR(INDEX(#REF!,MATCH(L30,#REF!,0),4)&amp;" "&amp;INDEX(#REF!,MATCH(L30,#REF!,0),3),"")</f>
        <v/>
      </c>
      <c r="N30" s="28" t="str">
        <f>IFERROR(INDEX(#REF!,MATCH(L30,#REF!,0),4)&amp;" "&amp;INDEX(#REF!,MATCH(L30,#REF!,0),3),"")</f>
        <v/>
      </c>
      <c r="O30" s="3"/>
      <c r="P30" s="28" t="str">
        <f>IFERROR(INDEX(#REF!,MATCH(L30,#REF!,0),4)&amp;" "&amp;INDEX(#REF!,MATCH(L30,#REF!,0),3),"")</f>
        <v/>
      </c>
      <c r="Q30" s="3"/>
      <c r="R30" s="4"/>
      <c r="S30" s="6"/>
    </row>
    <row r="31" spans="1:47" s="28" customFormat="1" ht="24.2" customHeight="1" x14ac:dyDescent="0.25">
      <c r="A31" s="34"/>
      <c r="B31" s="1" t="s">
        <v>171</v>
      </c>
      <c r="C31" s="28" t="str">
        <f>IFERROR(INDEX('selected-lohe'!$A$3:$H$357,MATCH(B31,'selected-lohe'!$G$3:$G$355,0),4)&amp;" "&amp;INDEX('selected-lohe'!$A$3:$H$357,MATCH(B31,'selected-lohe'!$G$3:$G$355,0),3),"")</f>
        <v/>
      </c>
      <c r="D31" s="28" t="str">
        <f>IFERROR(INDEX(#REF!,MATCH(B31,#REF!,0),4)&amp;" "&amp;INDEX(#REF!,MATCH(B31,#REF!,0),3),"")</f>
        <v/>
      </c>
      <c r="F31" s="28" t="str">
        <f>IFERROR(INDEX(#REF!,MATCH(B31,#REF!,0),4)&amp;"  "&amp;INDEX(#REF!,MATCH(B31,#REF!,0),3),"")</f>
        <v/>
      </c>
      <c r="I31" s="32"/>
      <c r="J31" s="33"/>
      <c r="K31" s="34"/>
      <c r="L31" s="1" t="s">
        <v>100</v>
      </c>
      <c r="M31" s="28" t="str">
        <f>IFERROR(INDEX(#REF!,MATCH(L31,#REF!,0),4)&amp;" "&amp;INDEX(#REF!,MATCH(L31,#REF!,0),3),"")</f>
        <v/>
      </c>
      <c r="N31" s="28" t="str">
        <f>IFERROR(INDEX(#REF!,MATCH(L31,#REF!,0),4)&amp;" "&amp;INDEX(#REF!,MATCH(L31,#REF!,0),3),"")</f>
        <v/>
      </c>
      <c r="P31" s="28" t="str">
        <f>IFERROR(INDEX(#REF!,MATCH(L31,#REF!,0),4)&amp;" "&amp;INDEX(#REF!,MATCH(L31,#REF!,0),3),"")</f>
        <v/>
      </c>
      <c r="S31" s="32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</row>
    <row r="32" spans="1:47" ht="24.2" customHeight="1" thickBot="1" x14ac:dyDescent="0.3">
      <c r="A32" s="7"/>
      <c r="B32" s="20" t="s">
        <v>94</v>
      </c>
      <c r="C32" s="35" t="str">
        <f>IFERROR(INDEX('selected-lohe'!$A$3:$H$357,MATCH(B32,'selected-lohe'!$G$3:$G$355,0),4)&amp;" "&amp;INDEX('selected-lohe'!$A$3:$H$357,MATCH(B32,'selected-lohe'!$G$3:$G$355,0),3),"")</f>
        <v/>
      </c>
      <c r="D32" s="35" t="str">
        <f>IFERROR(INDEX(#REF!,MATCH(B32,#REF!,0),4)&amp;" "&amp;INDEX(#REF!,MATCH(B32,#REF!,0),3),"")</f>
        <v/>
      </c>
      <c r="E32" s="30"/>
      <c r="F32" s="35" t="str">
        <f>IFERROR(INDEX(#REF!,MATCH(B32,#REF!,0),4)&amp;"  "&amp;INDEX(#REF!,MATCH(B32,#REF!,0),3),"")</f>
        <v/>
      </c>
      <c r="G32" s="8"/>
      <c r="H32" s="9"/>
      <c r="I32" s="21"/>
      <c r="J32" s="20"/>
      <c r="K32" s="7"/>
      <c r="L32" s="20" t="s">
        <v>102</v>
      </c>
      <c r="M32" s="35" t="str">
        <f>IFERROR(INDEX(#REF!,MATCH(L32,#REF!,0),4)&amp;" "&amp;INDEX(#REF!,MATCH(L32,#REF!,0),3),"")</f>
        <v/>
      </c>
      <c r="N32" s="35" t="str">
        <f>IFERROR(INDEX(#REF!,MATCH(L32,#REF!,0),4)&amp;" "&amp;INDEX(#REF!,MATCH(L32,#REF!,0),3),"")</f>
        <v/>
      </c>
      <c r="O32" s="8"/>
      <c r="P32" s="35" t="str">
        <f>IFERROR(INDEX(#REF!,MATCH(L32,#REF!,0),4)&amp;" "&amp;INDEX(#REF!,MATCH(L32,#REF!,0),3),"")</f>
        <v/>
      </c>
      <c r="Q32" s="8"/>
      <c r="R32" s="9"/>
      <c r="S32" s="21"/>
    </row>
    <row r="33" spans="1:47" ht="9.9499999999999993" customHeight="1" x14ac:dyDescent="0.25">
      <c r="A33" s="12"/>
      <c r="B33" s="10"/>
      <c r="C33" s="36"/>
      <c r="D33" s="40"/>
      <c r="E33" s="40"/>
      <c r="F33" s="36"/>
      <c r="K33" s="12"/>
      <c r="L33" s="10"/>
      <c r="M33" s="36"/>
      <c r="P33" s="36"/>
    </row>
    <row r="34" spans="1:47" ht="9.9499999999999993" customHeight="1" thickBot="1" x14ac:dyDescent="0.3">
      <c r="A34" s="12"/>
      <c r="B34" s="10"/>
      <c r="C34" s="36"/>
      <c r="D34" s="40"/>
      <c r="E34" s="40"/>
      <c r="F34" s="36"/>
      <c r="K34" s="12"/>
      <c r="L34" s="10"/>
      <c r="M34" s="36"/>
      <c r="P34" s="36"/>
    </row>
    <row r="35" spans="1:47" s="19" customFormat="1" ht="20.25" customHeight="1" thickBot="1" x14ac:dyDescent="0.3">
      <c r="A35" s="17"/>
      <c r="B35" s="18" t="s">
        <v>10</v>
      </c>
      <c r="C35" s="23" t="s">
        <v>9</v>
      </c>
      <c r="D35" s="18"/>
      <c r="E35" s="18" t="s">
        <v>11</v>
      </c>
      <c r="F35" s="25" t="s">
        <v>12</v>
      </c>
      <c r="G35" s="266" t="e">
        <f>#REF!</f>
        <v>#REF!</v>
      </c>
      <c r="H35" s="266"/>
      <c r="I35" s="267"/>
      <c r="J35" s="37" t="s">
        <v>213</v>
      </c>
      <c r="K35" s="17"/>
      <c r="L35" s="18" t="s">
        <v>10</v>
      </c>
      <c r="M35" s="26" t="s">
        <v>12</v>
      </c>
      <c r="N35" s="18"/>
      <c r="O35" s="18" t="s">
        <v>11</v>
      </c>
      <c r="P35" s="27" t="s">
        <v>9</v>
      </c>
      <c r="Q35" s="263"/>
      <c r="R35" s="263"/>
      <c r="S35" s="264"/>
    </row>
    <row r="36" spans="1:47" ht="33" customHeight="1" thickBot="1" x14ac:dyDescent="0.3">
      <c r="A36" s="31" t="s">
        <v>0</v>
      </c>
      <c r="B36" s="13" t="s">
        <v>1</v>
      </c>
      <c r="C36" s="24" t="s">
        <v>2</v>
      </c>
      <c r="D36" s="14" t="s">
        <v>3</v>
      </c>
      <c r="E36" s="14" t="s">
        <v>4</v>
      </c>
      <c r="F36" s="24" t="s">
        <v>5</v>
      </c>
      <c r="G36" s="15" t="s">
        <v>6</v>
      </c>
      <c r="H36" s="41" t="s">
        <v>7</v>
      </c>
      <c r="I36" s="16" t="s">
        <v>8</v>
      </c>
      <c r="K36" s="31" t="s">
        <v>0</v>
      </c>
      <c r="L36" s="13" t="s">
        <v>1</v>
      </c>
      <c r="M36" s="24" t="s">
        <v>2</v>
      </c>
      <c r="N36" s="14" t="s">
        <v>3</v>
      </c>
      <c r="O36" s="14" t="s">
        <v>4</v>
      </c>
      <c r="P36" s="24" t="s">
        <v>5</v>
      </c>
      <c r="Q36" s="15" t="s">
        <v>6</v>
      </c>
      <c r="R36" s="41" t="s">
        <v>7</v>
      </c>
      <c r="S36" s="16" t="s">
        <v>8</v>
      </c>
    </row>
    <row r="37" spans="1:47" s="28" customFormat="1" ht="24.2" customHeight="1" x14ac:dyDescent="0.25">
      <c r="A37" s="34"/>
      <c r="B37" s="1" t="s">
        <v>97</v>
      </c>
      <c r="C37" s="28" t="str">
        <f>IFERROR(INDEX('selected-lohe'!$A$3:$H$357,MATCH(B37,'selected-lohe'!$G$3:$G$355,0),4)&amp;"  "&amp;INDEX('selected-lohe'!$A$3:$H$357,MATCH(B37,'selected-lohe'!$G$3:$G$355,0),3),"")</f>
        <v/>
      </c>
      <c r="D37" s="28" t="str">
        <f>IFERROR(INDEX(#REF!,MATCH(B37,#REF!,0),4)&amp;" "&amp;INDEX(#REF!,MATCH(B37,#REF!,0),3),"")</f>
        <v/>
      </c>
      <c r="F37" s="28" t="str">
        <f>IFERROR(INDEX(#REF!,MATCH(B37,#REF!,0),4)&amp;"  "&amp;INDEX(#REF!,MATCH(B37,#REF!,0),3),"")</f>
        <v/>
      </c>
      <c r="I37" s="32"/>
      <c r="J37" s="1"/>
      <c r="K37" s="34"/>
      <c r="L37" s="1" t="s">
        <v>103</v>
      </c>
      <c r="M37" s="28" t="str">
        <f>IFERROR(INDEX(#REF!,MATCH(L37,#REF!,0),4)&amp;" "&amp;INDEX(#REF!,MATCH(L37,#REF!,0),3),"")</f>
        <v/>
      </c>
      <c r="N37" s="28" t="str">
        <f>IFERROR(INDEX(#REF!,MATCH(L37,#REF!,0),4)&amp;" "&amp;INDEX(#REF!,MATCH(L37,#REF!,0),3),"")</f>
        <v/>
      </c>
      <c r="P37" s="28" t="str">
        <f>IFERROR(INDEX(#REF!,MATCH(L37,#REF!,0),4)&amp;"  "&amp;INDEX(#REF!,MATCH(L37,#REF!,0),3),"")</f>
        <v/>
      </c>
      <c r="S37" s="32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</row>
    <row r="38" spans="1:47" s="28" customFormat="1" ht="24.2" customHeight="1" x14ac:dyDescent="0.25">
      <c r="A38" s="34"/>
      <c r="B38" s="1" t="s">
        <v>100</v>
      </c>
      <c r="C38" s="28" t="str">
        <f>IFERROR(INDEX('selected-lohe'!$A$3:$H$357,MATCH(B38,'selected-lohe'!$G$3:$G$355,0),4)&amp;"  "&amp;INDEX('selected-lohe'!$A$3:$H$357,MATCH(B38,'selected-lohe'!$G$3:$G$355,0),3),"")</f>
        <v/>
      </c>
      <c r="D38" s="28" t="str">
        <f>IFERROR(INDEX(#REF!,MATCH(B38,#REF!,0),4)&amp;" "&amp;INDEX(#REF!,MATCH(B38,#REF!,0),3),"")</f>
        <v/>
      </c>
      <c r="F38" s="28" t="str">
        <f>IFERROR(INDEX(#REF!,MATCH(B38,#REF!,0),4)&amp;"  "&amp;INDEX(#REF!,MATCH(B38,#REF!,0),3),"")</f>
        <v/>
      </c>
      <c r="I38" s="32"/>
      <c r="J38" s="1"/>
      <c r="K38" s="34"/>
      <c r="L38" s="1" t="s">
        <v>38</v>
      </c>
      <c r="M38" s="28" t="str">
        <f>IFERROR(INDEX(#REF!,MATCH(L38,#REF!,0),4)&amp;" "&amp;INDEX(#REF!,MATCH(L38,#REF!,0),3),"")</f>
        <v/>
      </c>
      <c r="N38" s="28" t="str">
        <f>IFERROR(INDEX(#REF!,MATCH(L38,#REF!,0),4)&amp;" "&amp;INDEX(#REF!,MATCH(L38,#REF!,0),3),"")</f>
        <v/>
      </c>
      <c r="P38" s="28" t="str">
        <f>IFERROR(INDEX(#REF!,MATCH(L38,#REF!,0),4)&amp;"  "&amp;INDEX(#REF!,MATCH(L38,#REF!,0),3),"")</f>
        <v/>
      </c>
      <c r="S38" s="32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</row>
    <row r="39" spans="1:47" s="28" customFormat="1" ht="24.2" customHeight="1" x14ac:dyDescent="0.25">
      <c r="A39" s="34"/>
      <c r="B39" s="1" t="s">
        <v>102</v>
      </c>
      <c r="C39" s="28" t="str">
        <f>IFERROR(INDEX('selected-lohe'!$A$3:$H$357,MATCH(B39,'selected-lohe'!$G$3:$G$355,0),4)&amp;"  "&amp;INDEX('selected-lohe'!$A$3:$H$357,MATCH(B39,'selected-lohe'!$G$3:$G$355,0),3),"")</f>
        <v/>
      </c>
      <c r="D39" s="28" t="str">
        <f>IFERROR(INDEX(#REF!,MATCH(B39,#REF!,0),4)&amp;" "&amp;INDEX(#REF!,MATCH(B39,#REF!,0),3),"")</f>
        <v/>
      </c>
      <c r="F39" s="28" t="str">
        <f>IFERROR(INDEX(#REF!,MATCH(B39,#REF!,0),4)&amp;"  "&amp;INDEX(#REF!,MATCH(B39,#REF!,0),3),"")</f>
        <v/>
      </c>
      <c r="I39" s="32"/>
      <c r="J39" s="1"/>
      <c r="K39" s="34"/>
      <c r="L39" s="1" t="s">
        <v>106</v>
      </c>
      <c r="M39" s="28" t="str">
        <f>IFERROR(INDEX(#REF!,MATCH(L39,#REF!,0),4)&amp;" "&amp;INDEX(#REF!,MATCH(L39,#REF!,0),3),"")</f>
        <v/>
      </c>
      <c r="N39" s="28" t="str">
        <f>IFERROR(INDEX(#REF!,MATCH(L39,#REF!,0),4)&amp;" "&amp;INDEX(#REF!,MATCH(L39,#REF!,0),3),"")</f>
        <v/>
      </c>
      <c r="P39" s="28" t="str">
        <f>IFERROR(INDEX(#REF!,MATCH(L39,#REF!,0),4)&amp;"  "&amp;INDEX(#REF!,MATCH(L39,#REF!,0),3),"")</f>
        <v/>
      </c>
      <c r="S39" s="32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</row>
    <row r="40" spans="1:47" s="28" customFormat="1" ht="24.2" customHeight="1" x14ac:dyDescent="0.25">
      <c r="A40" s="34"/>
      <c r="B40" s="1" t="s">
        <v>103</v>
      </c>
      <c r="C40" s="28" t="str">
        <f>IFERROR(INDEX('selected-lohe'!$A$3:$H$357,MATCH(B40,'selected-lohe'!$G$3:$G$355,0),4)&amp;"  "&amp;INDEX('selected-lohe'!$A$3:$H$357,MATCH(B40,'selected-lohe'!$G$3:$G$355,0),3),"")</f>
        <v/>
      </c>
      <c r="D40" s="28" t="str">
        <f>IFERROR(INDEX(#REF!,MATCH(B40,#REF!,0),4)&amp;" "&amp;INDEX(#REF!,MATCH(B40,#REF!,0),3),"")</f>
        <v/>
      </c>
      <c r="F40" s="28" t="str">
        <f>IFERROR(INDEX(#REF!,MATCH(B40,#REF!,0),4)&amp;"  "&amp;INDEX(#REF!,MATCH(B40,#REF!,0),3),"")</f>
        <v/>
      </c>
      <c r="I40" s="32"/>
      <c r="J40" s="1"/>
      <c r="K40" s="34"/>
      <c r="L40" s="1" t="s">
        <v>108</v>
      </c>
      <c r="M40" s="28" t="str">
        <f>IFERROR(INDEX(#REF!,MATCH(L40,#REF!,0),4)&amp;" "&amp;INDEX(#REF!,MATCH(L40,#REF!,0),3),"")</f>
        <v/>
      </c>
      <c r="N40" s="28" t="str">
        <f>IFERROR(INDEX(#REF!,MATCH(L40,#REF!,0),4)&amp;" "&amp;INDEX(#REF!,MATCH(L40,#REF!,0),3),"")</f>
        <v/>
      </c>
      <c r="P40" s="28" t="str">
        <f>IFERROR(INDEX(#REF!,MATCH(L40,#REF!,0),4)&amp;"  "&amp;INDEX(#REF!,MATCH(L40,#REF!,0),3),"")</f>
        <v/>
      </c>
      <c r="S40" s="32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</row>
    <row r="41" spans="1:47" s="28" customFormat="1" ht="24.2" customHeight="1" x14ac:dyDescent="0.25">
      <c r="A41" s="34"/>
      <c r="B41" s="1" t="s">
        <v>38</v>
      </c>
      <c r="C41" s="28" t="str">
        <f>IFERROR(INDEX('selected-lohe'!$A$3:$H$357,MATCH(B41,'selected-lohe'!$G$3:$G$355,0),4)&amp;"  "&amp;INDEX('selected-lohe'!$A$3:$H$357,MATCH(B41,'selected-lohe'!$G$3:$G$355,0),3),"")</f>
        <v/>
      </c>
      <c r="D41" s="28" t="str">
        <f>IFERROR(INDEX(#REF!,MATCH(B41,#REF!,0),4)&amp;" "&amp;INDEX(#REF!,MATCH(B41,#REF!,0),3),"")</f>
        <v/>
      </c>
      <c r="F41" s="28" t="str">
        <f>IFERROR(INDEX(#REF!,MATCH(B41,#REF!,0),4)&amp;"  "&amp;INDEX(#REF!,MATCH(B41,#REF!,0),3),"")</f>
        <v/>
      </c>
      <c r="I41" s="32"/>
      <c r="J41" s="1"/>
      <c r="K41" s="34"/>
      <c r="L41" s="1" t="s">
        <v>109</v>
      </c>
      <c r="M41" s="28" t="str">
        <f>IFERROR(INDEX(#REF!,MATCH(L41,#REF!,0),4)&amp;" "&amp;INDEX(#REF!,MATCH(L41,#REF!,0),3),"")</f>
        <v/>
      </c>
      <c r="N41" s="28" t="str">
        <f>IFERROR(INDEX(#REF!,MATCH(L41,#REF!,0),4)&amp;" "&amp;INDEX(#REF!,MATCH(L41,#REF!,0),3),"")</f>
        <v/>
      </c>
      <c r="P41" s="28" t="str">
        <f>IFERROR(INDEX(#REF!,MATCH(L41,#REF!,0),4)&amp;"  "&amp;INDEX(#REF!,MATCH(L41,#REF!,0),3),"")</f>
        <v/>
      </c>
      <c r="S41" s="32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</row>
    <row r="42" spans="1:47" s="28" customFormat="1" ht="24.2" customHeight="1" x14ac:dyDescent="0.25">
      <c r="A42" s="34"/>
      <c r="B42" s="1" t="s">
        <v>106</v>
      </c>
      <c r="C42" s="28" t="str">
        <f>IFERROR(INDEX('selected-lohe'!$A$3:$H$357,MATCH(B42,'selected-lohe'!$G$3:$G$355,0),4)&amp;"  "&amp;INDEX('selected-lohe'!$A$3:$H$357,MATCH(B42,'selected-lohe'!$G$3:$G$355,0),3),"")</f>
        <v/>
      </c>
      <c r="D42" s="28" t="str">
        <f>IFERROR(INDEX(#REF!,MATCH(B42,#REF!,0),4)&amp;" "&amp;INDEX(#REF!,MATCH(B42,#REF!,0),3),"")</f>
        <v/>
      </c>
      <c r="F42" s="28" t="str">
        <f>IFERROR(INDEX(#REF!,MATCH(B42,#REF!,0),4)&amp;"  "&amp;INDEX(#REF!,MATCH(B42,#REF!,0),3),"")</f>
        <v/>
      </c>
      <c r="I42" s="32"/>
      <c r="J42" s="1"/>
      <c r="K42" s="34"/>
      <c r="L42" s="1" t="s">
        <v>111</v>
      </c>
      <c r="M42" s="28" t="str">
        <f>IFERROR(INDEX(#REF!,MATCH(L42,#REF!,0),4)&amp;" "&amp;INDEX(#REF!,MATCH(L42,#REF!,0),3),"")</f>
        <v/>
      </c>
      <c r="N42" s="28" t="str">
        <f>IFERROR(INDEX(#REF!,MATCH(L42,#REF!,0),4)&amp;" "&amp;INDEX(#REF!,MATCH(L42,#REF!,0),3),"")</f>
        <v/>
      </c>
      <c r="P42" s="28" t="str">
        <f>IFERROR(INDEX(#REF!,MATCH(L42,#REF!,0),4)&amp;"  "&amp;INDEX(#REF!,MATCH(L42,#REF!,0),3),"")</f>
        <v/>
      </c>
      <c r="S42" s="32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</row>
    <row r="43" spans="1:47" s="28" customFormat="1" ht="24.2" customHeight="1" x14ac:dyDescent="0.25">
      <c r="A43" s="34"/>
      <c r="B43" s="1" t="s">
        <v>108</v>
      </c>
      <c r="C43" s="28" t="str">
        <f>IFERROR(INDEX('selected-lohe'!$A$3:$H$357,MATCH(B43,'selected-lohe'!$G$3:$G$355,0),4)&amp;"  "&amp;INDEX('selected-lohe'!$A$3:$H$357,MATCH(B43,'selected-lohe'!$G$3:$G$355,0),3),"")</f>
        <v/>
      </c>
      <c r="D43" s="28" t="str">
        <f>IFERROR(INDEX(#REF!,MATCH(B43,#REF!,0),4)&amp;" "&amp;INDEX(#REF!,MATCH(B43,#REF!,0),3),"")</f>
        <v/>
      </c>
      <c r="F43" s="28" t="str">
        <f>IFERROR(INDEX(#REF!,MATCH(B43,#REF!,0),4)&amp;"  "&amp;INDEX(#REF!,MATCH(B43,#REF!,0),3),"")</f>
        <v/>
      </c>
      <c r="I43" s="32"/>
      <c r="J43" s="1"/>
      <c r="K43" s="34"/>
      <c r="L43" s="1" t="s">
        <v>112</v>
      </c>
      <c r="M43" s="28" t="str">
        <f>IFERROR(INDEX(#REF!,MATCH(L43,#REF!,0),4)&amp;" "&amp;INDEX(#REF!,MATCH(L43,#REF!,0),3),"")</f>
        <v/>
      </c>
      <c r="N43" s="28" t="str">
        <f>IFERROR(INDEX(#REF!,MATCH(L43,#REF!,0),4)&amp;" "&amp;INDEX(#REF!,MATCH(L43,#REF!,0),3),"")</f>
        <v/>
      </c>
      <c r="P43" s="28" t="str">
        <f>IFERROR(INDEX(#REF!,MATCH(L43,#REF!,0),4)&amp;"  "&amp;INDEX(#REF!,MATCH(L43,#REF!,0),3),"")</f>
        <v/>
      </c>
      <c r="S43" s="32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</row>
    <row r="44" spans="1:47" s="28" customFormat="1" ht="24.2" customHeight="1" x14ac:dyDescent="0.25">
      <c r="A44" s="34"/>
      <c r="B44" s="1" t="s">
        <v>109</v>
      </c>
      <c r="C44" s="28" t="str">
        <f>IFERROR(INDEX('selected-lohe'!$A$3:$H$357,MATCH(B44,'selected-lohe'!$G$3:$G$355,0),4)&amp;"  "&amp;INDEX('selected-lohe'!$A$3:$H$357,MATCH(B44,'selected-lohe'!$G$3:$G$355,0),3),"")</f>
        <v/>
      </c>
      <c r="D44" s="28" t="str">
        <f>IFERROR(INDEX(#REF!,MATCH(B44,#REF!,0),4)&amp;" "&amp;INDEX(#REF!,MATCH(B44,#REF!,0),3),"")</f>
        <v/>
      </c>
      <c r="F44" s="28" t="str">
        <f>IFERROR(INDEX(#REF!,MATCH(B44,#REF!,0),4)&amp;"  "&amp;INDEX(#REF!,MATCH(B44,#REF!,0),3),"")</f>
        <v/>
      </c>
      <c r="I44" s="32"/>
      <c r="J44" s="1"/>
      <c r="K44" s="34"/>
      <c r="L44" s="1" t="s">
        <v>113</v>
      </c>
      <c r="M44" s="28" t="str">
        <f>IFERROR(INDEX(#REF!,MATCH(L44,#REF!,0),4)&amp;" "&amp;INDEX(#REF!,MATCH(L44,#REF!,0),3),"")</f>
        <v/>
      </c>
      <c r="N44" s="28" t="str">
        <f>IFERROR(INDEX(#REF!,MATCH(L44,#REF!,0),4)&amp;" "&amp;INDEX(#REF!,MATCH(L44,#REF!,0),3),"")</f>
        <v/>
      </c>
      <c r="P44" s="28" t="str">
        <f>IFERROR(INDEX(#REF!,MATCH(L44,#REF!,0),4)&amp;"  "&amp;INDEX(#REF!,MATCH(L44,#REF!,0),3),"")</f>
        <v/>
      </c>
      <c r="S44" s="32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</row>
    <row r="45" spans="1:47" s="28" customFormat="1" ht="24.2" customHeight="1" x14ac:dyDescent="0.25">
      <c r="A45" s="34"/>
      <c r="B45" s="1" t="s">
        <v>111</v>
      </c>
      <c r="C45" s="28" t="str">
        <f>IFERROR(INDEX('selected-lohe'!$A$3:$H$357,MATCH(B45,'selected-lohe'!$G$3:$G$355,0),4)&amp;"  "&amp;INDEX('selected-lohe'!$A$3:$H$357,MATCH(B45,'selected-lohe'!$G$3:$G$355,0),3),"")</f>
        <v/>
      </c>
      <c r="D45" s="28" t="str">
        <f>IFERROR(INDEX(#REF!,MATCH(B45,#REF!,0),4)&amp;" "&amp;INDEX(#REF!,MATCH(B45,#REF!,0),3),"")</f>
        <v/>
      </c>
      <c r="F45" s="28" t="str">
        <f>IFERROR(INDEX(#REF!,MATCH(B45,#REF!,0),4)&amp;"  "&amp;INDEX(#REF!,MATCH(B45,#REF!,0),3),"")</f>
        <v/>
      </c>
      <c r="I45" s="32"/>
      <c r="J45" s="1"/>
      <c r="K45" s="34"/>
      <c r="L45" s="1" t="s">
        <v>39</v>
      </c>
      <c r="M45" s="28" t="str">
        <f>IFERROR(INDEX(#REF!,MATCH(L45,#REF!,0),4)&amp;" "&amp;INDEX(#REF!,MATCH(L45,#REF!,0),3),"")</f>
        <v/>
      </c>
      <c r="N45" s="28" t="str">
        <f>IFERROR(INDEX(#REF!,MATCH(L45,#REF!,0),4)&amp;" "&amp;INDEX(#REF!,MATCH(L45,#REF!,0),3),"")</f>
        <v/>
      </c>
      <c r="P45" s="28" t="str">
        <f>IFERROR(INDEX(#REF!,MATCH(L45,#REF!,0),4)&amp;"  "&amp;INDEX(#REF!,MATCH(L45,#REF!,0),3),"")</f>
        <v/>
      </c>
      <c r="S45" s="32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</row>
    <row r="46" spans="1:47" s="28" customFormat="1" ht="24.2" customHeight="1" x14ac:dyDescent="0.25">
      <c r="A46" s="34"/>
      <c r="B46" s="1" t="s">
        <v>112</v>
      </c>
      <c r="C46" s="28" t="str">
        <f>IFERROR(INDEX('selected-lohe'!$A$3:$H$357,MATCH(B46,'selected-lohe'!$G$3:$G$355,0),4)&amp;"  "&amp;INDEX('selected-lohe'!$A$3:$H$357,MATCH(B46,'selected-lohe'!$G$3:$G$355,0),3),"")</f>
        <v/>
      </c>
      <c r="D46" s="28" t="str">
        <f>IFERROR(INDEX(#REF!,MATCH(B46,#REF!,0),4)&amp;" "&amp;INDEX(#REF!,MATCH(B46,#REF!,0),3),"")</f>
        <v/>
      </c>
      <c r="F46" s="28" t="str">
        <f>IFERROR(INDEX(#REF!,MATCH(B46,#REF!,0),4)&amp;"  "&amp;INDEX(#REF!,MATCH(B46,#REF!,0),3),"")</f>
        <v/>
      </c>
      <c r="I46" s="32"/>
      <c r="J46" s="1"/>
      <c r="K46" s="34"/>
      <c r="L46" s="1" t="s">
        <v>40</v>
      </c>
      <c r="M46" s="28" t="str">
        <f>IFERROR(INDEX(#REF!,MATCH(L46,#REF!,0),4)&amp;" "&amp;INDEX(#REF!,MATCH(L46,#REF!,0),3),"")</f>
        <v/>
      </c>
      <c r="N46" s="28" t="str">
        <f>IFERROR(INDEX(#REF!,MATCH(L46,#REF!,0),4)&amp;" "&amp;INDEX(#REF!,MATCH(L46,#REF!,0),3),"")</f>
        <v/>
      </c>
      <c r="P46" s="28" t="str">
        <f>IFERROR(INDEX(#REF!,MATCH(L46,#REF!,0),4)&amp;"  "&amp;INDEX(#REF!,MATCH(L46,#REF!,0),3),"")</f>
        <v/>
      </c>
      <c r="S46" s="32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</row>
    <row r="47" spans="1:47" s="28" customFormat="1" ht="24.2" customHeight="1" x14ac:dyDescent="0.25">
      <c r="A47" s="34"/>
      <c r="B47" s="1" t="s">
        <v>113</v>
      </c>
      <c r="C47" s="28" t="str">
        <f>IFERROR(INDEX('selected-lohe'!$A$3:$H$357,MATCH(B47,'selected-lohe'!$G$3:$G$355,0),4)&amp;"  "&amp;INDEX('selected-lohe'!$A$3:$H$357,MATCH(B47,'selected-lohe'!$G$3:$G$355,0),3),"")</f>
        <v/>
      </c>
      <c r="D47" s="28" t="str">
        <f>IFERROR(INDEX(#REF!,MATCH(B47,#REF!,0),4)&amp;" "&amp;INDEX(#REF!,MATCH(B47,#REF!,0),3),"")</f>
        <v/>
      </c>
      <c r="F47" s="28" t="str">
        <f>IFERROR(INDEX(#REF!,MATCH(B47,#REF!,0),4)&amp;"  "&amp;INDEX(#REF!,MATCH(B47,#REF!,0),3),"")</f>
        <v/>
      </c>
      <c r="I47" s="32"/>
      <c r="J47" s="1"/>
      <c r="K47" s="34"/>
      <c r="L47" s="1" t="s">
        <v>114</v>
      </c>
      <c r="M47" s="28" t="str">
        <f>IFERROR(INDEX(#REF!,MATCH(L47,#REF!,0),4)&amp;" "&amp;INDEX(#REF!,MATCH(L47,#REF!,0),3),"")</f>
        <v/>
      </c>
      <c r="N47" s="28" t="str">
        <f>IFERROR(INDEX(#REF!,MATCH(L47,#REF!,0),4)&amp;" "&amp;INDEX(#REF!,MATCH(L47,#REF!,0),3),"")</f>
        <v/>
      </c>
      <c r="P47" s="28" t="str">
        <f>IFERROR(INDEX(#REF!,MATCH(L47,#REF!,0),4)&amp;"  "&amp;INDEX(#REF!,MATCH(L47,#REF!,0),3),"")</f>
        <v/>
      </c>
      <c r="S47" s="32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</row>
    <row r="48" spans="1:47" s="28" customFormat="1" ht="24.2" customHeight="1" x14ac:dyDescent="0.25">
      <c r="A48" s="34"/>
      <c r="B48" s="1" t="s">
        <v>39</v>
      </c>
      <c r="C48" s="28" t="str">
        <f>IFERROR(INDEX('selected-lohe'!$A$3:$H$357,MATCH(B48,'selected-lohe'!$G$3:$G$355,0),4)&amp;"  "&amp;INDEX('selected-lohe'!$A$3:$H$357,MATCH(B48,'selected-lohe'!$G$3:$G$355,0),3),"")</f>
        <v/>
      </c>
      <c r="D48" s="28" t="str">
        <f>IFERROR(INDEX(#REF!,MATCH(B48,#REF!,0),4)&amp;" "&amp;INDEX(#REF!,MATCH(B48,#REF!,0),3),"")</f>
        <v/>
      </c>
      <c r="F48" s="28" t="str">
        <f>IFERROR(INDEX(#REF!,MATCH(B48,#REF!,0),4)&amp;"  "&amp;INDEX(#REF!,MATCH(B48,#REF!,0),3),"")</f>
        <v/>
      </c>
      <c r="I48" s="32"/>
      <c r="J48" s="1"/>
      <c r="K48" s="34"/>
      <c r="L48" s="1" t="s">
        <v>210</v>
      </c>
      <c r="M48" s="28" t="str">
        <f>IFERROR(INDEX(#REF!,MATCH(L48,#REF!,0),4)&amp;" "&amp;INDEX(#REF!,MATCH(L48,#REF!,0),3),"")</f>
        <v/>
      </c>
      <c r="N48" s="28" t="str">
        <f>IFERROR(INDEX(#REF!,MATCH(L48,#REF!,0),4)&amp;" "&amp;INDEX(#REF!,MATCH(L48,#REF!,0),3),"")</f>
        <v/>
      </c>
      <c r="P48" s="28" t="str">
        <f>IFERROR(INDEX(#REF!,MATCH(L48,#REF!,0),4)&amp;"  "&amp;INDEX(#REF!,MATCH(L48,#REF!,0),3),"")</f>
        <v/>
      </c>
      <c r="S48" s="32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</row>
    <row r="49" spans="1:47" s="28" customFormat="1" ht="24.2" customHeight="1" x14ac:dyDescent="0.25">
      <c r="A49" s="34"/>
      <c r="B49" s="1" t="s">
        <v>40</v>
      </c>
      <c r="C49" s="28" t="str">
        <f>IFERROR(INDEX('selected-lohe'!$A$3:$H$357,MATCH(B49,'selected-lohe'!$G$3:$G$355,0),4)&amp;"  "&amp;INDEX('selected-lohe'!$A$3:$H$357,MATCH(B49,'selected-lohe'!$G$3:$G$355,0),3),"")</f>
        <v/>
      </c>
      <c r="D49" s="28" t="str">
        <f>IFERROR(INDEX(#REF!,MATCH(B49,#REF!,0),4)&amp;" "&amp;INDEX(#REF!,MATCH(B49,#REF!,0),3),"")</f>
        <v/>
      </c>
      <c r="F49" s="28" t="str">
        <f>IFERROR(INDEX(#REF!,MATCH(B49,#REF!,0),4)&amp;"  "&amp;INDEX(#REF!,MATCH(B49,#REF!,0),3),"")</f>
        <v/>
      </c>
      <c r="I49" s="32"/>
      <c r="J49" s="1"/>
      <c r="K49" s="34"/>
      <c r="L49" s="1" t="s">
        <v>45</v>
      </c>
      <c r="M49" s="28" t="str">
        <f>IFERROR(INDEX(#REF!,MATCH(L49,#REF!,0),4)&amp;" "&amp;INDEX(#REF!,MATCH(L49,#REF!,0),3),"")</f>
        <v/>
      </c>
      <c r="N49" s="28" t="str">
        <f>IFERROR(INDEX(#REF!,MATCH(L49,#REF!,0),4)&amp;" "&amp;INDEX(#REF!,MATCH(L49,#REF!,0),3),"")</f>
        <v/>
      </c>
      <c r="P49" s="28" t="str">
        <f>IFERROR(INDEX(#REF!,MATCH(L49,#REF!,0),4)&amp;"  "&amp;INDEX(#REF!,MATCH(L49,#REF!,0),3),"")</f>
        <v/>
      </c>
      <c r="S49" s="32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</row>
    <row r="50" spans="1:47" s="28" customFormat="1" ht="24.2" customHeight="1" x14ac:dyDescent="0.25">
      <c r="A50" s="34"/>
      <c r="B50" s="1" t="s">
        <v>41</v>
      </c>
      <c r="C50" s="28" t="str">
        <f>IFERROR(INDEX('selected-lohe'!$A$3:$H$357,MATCH(B50,'selected-lohe'!$G$3:$G$355,0),4)&amp;"  "&amp;INDEX('selected-lohe'!$A$3:$H$357,MATCH(B50,'selected-lohe'!$G$3:$G$355,0),3),"")</f>
        <v/>
      </c>
      <c r="D50" s="28" t="str">
        <f>IFERROR(INDEX(#REF!,MATCH(B50,#REF!,0),4)&amp;" "&amp;INDEX(#REF!,MATCH(B50,#REF!,0),3),"")</f>
        <v/>
      </c>
      <c r="F50" s="28" t="str">
        <f>IFERROR(INDEX(#REF!,MATCH(B50,#REF!,0),4)&amp;"  "&amp;INDEX(#REF!,MATCH(B50,#REF!,0),3),"")</f>
        <v/>
      </c>
      <c r="I50" s="32"/>
      <c r="J50" s="1"/>
      <c r="K50" s="34"/>
      <c r="L50" s="1" t="s">
        <v>211</v>
      </c>
      <c r="M50" s="28" t="str">
        <f>IFERROR(INDEX(#REF!,MATCH(L50,#REF!,0),4)&amp;" "&amp;INDEX(#REF!,MATCH(L50,#REF!,0),3),"")</f>
        <v/>
      </c>
      <c r="N50" s="28" t="str">
        <f>IFERROR(INDEX(#REF!,MATCH(L50,#REF!,0),4)&amp;" "&amp;INDEX(#REF!,MATCH(L50,#REF!,0),3),"")</f>
        <v/>
      </c>
      <c r="P50" s="28" t="str">
        <f>IFERROR(INDEX(#REF!,MATCH(L50,#REF!,0),4)&amp;"  "&amp;INDEX(#REF!,MATCH(L50,#REF!,0),3),"")</f>
        <v/>
      </c>
      <c r="S50" s="32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</row>
    <row r="51" spans="1:47" s="28" customFormat="1" ht="24.2" customHeight="1" x14ac:dyDescent="0.25">
      <c r="A51" s="34"/>
      <c r="B51" s="1" t="s">
        <v>42</v>
      </c>
      <c r="C51" s="28" t="str">
        <f>IFERROR(INDEX('selected-lohe'!$A$3:$H$357,MATCH(B51,'selected-lohe'!$G$3:$G$355,0),4)&amp;"  "&amp;INDEX('selected-lohe'!$A$3:$H$357,MATCH(B51,'selected-lohe'!$G$3:$G$355,0),3),"")</f>
        <v/>
      </c>
      <c r="D51" s="28" t="str">
        <f>IFERROR(INDEX(#REF!,MATCH(B51,#REF!,0),4)&amp;" "&amp;INDEX(#REF!,MATCH(B51,#REF!,0),3),"")</f>
        <v/>
      </c>
      <c r="F51" s="28" t="str">
        <f>IFERROR(INDEX(#REF!,MATCH(B51,#REF!,0),4)&amp;"  "&amp;INDEX(#REF!,MATCH(B51,#REF!,0),3),"")</f>
        <v/>
      </c>
      <c r="I51" s="32"/>
      <c r="J51" s="1"/>
      <c r="K51" s="34"/>
      <c r="L51" s="1" t="s">
        <v>212</v>
      </c>
      <c r="M51" s="28" t="str">
        <f>IFERROR(INDEX(#REF!,MATCH(L51,#REF!,0),4)&amp;" "&amp;INDEX(#REF!,MATCH(L51,#REF!,0),3),"")</f>
        <v/>
      </c>
      <c r="N51" s="28" t="str">
        <f>IFERROR(INDEX(#REF!,MATCH(L51,#REF!,0),4)&amp;" "&amp;INDEX(#REF!,MATCH(L51,#REF!,0),3),"")</f>
        <v/>
      </c>
      <c r="P51" s="28" t="str">
        <f>IFERROR(INDEX(#REF!,MATCH(L51,#REF!,0),4)&amp;"  "&amp;INDEX(#REF!,MATCH(L51,#REF!,0),3),"")</f>
        <v/>
      </c>
      <c r="S51" s="32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</row>
    <row r="52" spans="1:47" s="28" customFormat="1" ht="24.2" customHeight="1" x14ac:dyDescent="0.25">
      <c r="A52" s="34"/>
      <c r="B52" s="1" t="s">
        <v>43</v>
      </c>
      <c r="C52" s="28" t="str">
        <f>IFERROR(INDEX('selected-lohe'!$A$3:$H$357,MATCH(B52,'selected-lohe'!$G$3:$G$355,0),4)&amp;"  "&amp;INDEX('selected-lohe'!$A$3:$H$357,MATCH(B52,'selected-lohe'!$G$3:$G$355,0),3),"")</f>
        <v/>
      </c>
      <c r="D52" s="28" t="str">
        <f>IFERROR(INDEX(#REF!,MATCH(B52,#REF!,0),4)&amp;" "&amp;INDEX(#REF!,MATCH(B52,#REF!,0),3),"")</f>
        <v/>
      </c>
      <c r="F52" s="28" t="str">
        <f>IFERROR(INDEX(#REF!,MATCH(B52,#REF!,0),4)&amp;"  "&amp;INDEX(#REF!,MATCH(B52,#REF!,0),3),"")</f>
        <v/>
      </c>
      <c r="I52" s="32"/>
      <c r="J52" s="1"/>
      <c r="K52" s="34"/>
      <c r="L52" s="1" t="s">
        <v>118</v>
      </c>
      <c r="M52" s="28" t="str">
        <f>IFERROR(INDEX(#REF!,MATCH(L52,#REF!,0),4)&amp;" "&amp;INDEX(#REF!,MATCH(L52,#REF!,0),3),"")</f>
        <v/>
      </c>
      <c r="N52" s="28" t="str">
        <f>IFERROR(INDEX(#REF!,MATCH(L52,#REF!,0),4)&amp;" "&amp;INDEX(#REF!,MATCH(L52,#REF!,0),3),"")</f>
        <v/>
      </c>
      <c r="P52" s="28" t="str">
        <f>IFERROR(INDEX(#REF!,MATCH(L52,#REF!,0),4)&amp;"  "&amp;INDEX(#REF!,MATCH(L52,#REF!,0),3),"")</f>
        <v/>
      </c>
      <c r="S52" s="32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</row>
    <row r="53" spans="1:47" s="28" customFormat="1" ht="24.2" customHeight="1" x14ac:dyDescent="0.25">
      <c r="A53" s="34"/>
      <c r="B53" s="1" t="s">
        <v>44</v>
      </c>
      <c r="C53" s="28" t="str">
        <f>IFERROR(INDEX('selected-lohe'!$A$3:$H$357,MATCH(B53,'selected-lohe'!$G$3:$G$355,0),4)&amp;"  "&amp;INDEX('selected-lohe'!$A$3:$H$357,MATCH(B53,'selected-lohe'!$G$3:$G$355,0),3),"")</f>
        <v/>
      </c>
      <c r="D53" s="28" t="str">
        <f>IFERROR(INDEX(#REF!,MATCH(B53,#REF!,0),4)&amp;" "&amp;INDEX(#REF!,MATCH(B53,#REF!,0),3),"")</f>
        <v/>
      </c>
      <c r="F53" s="28" t="str">
        <f>IFERROR(INDEX(#REF!,MATCH(B53,#REF!,0),4)&amp;"  "&amp;INDEX(#REF!,MATCH(B53,#REF!,0),3),"")</f>
        <v/>
      </c>
      <c r="I53" s="32"/>
      <c r="J53" s="1"/>
      <c r="K53" s="34"/>
      <c r="L53" s="1" t="s">
        <v>121</v>
      </c>
      <c r="M53" s="28" t="str">
        <f>IFERROR(INDEX(#REF!,MATCH(L53,#REF!,0),4)&amp;" "&amp;INDEX(#REF!,MATCH(L53,#REF!,0),3),"")</f>
        <v/>
      </c>
      <c r="N53" s="28" t="str">
        <f>IFERROR(INDEX(#REF!,MATCH(L53,#REF!,0),4)&amp;" "&amp;INDEX(#REF!,MATCH(L53,#REF!,0),3),"")</f>
        <v/>
      </c>
      <c r="P53" s="28" t="str">
        <f>IFERROR(INDEX(#REF!,MATCH(L53,#REF!,0),4)&amp;"  "&amp;INDEX(#REF!,MATCH(L53,#REF!,0),3),"")</f>
        <v/>
      </c>
      <c r="S53" s="32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</row>
    <row r="54" spans="1:47" s="28" customFormat="1" ht="24.2" customHeight="1" x14ac:dyDescent="0.25">
      <c r="A54" s="34"/>
      <c r="B54" s="1" t="s">
        <v>46</v>
      </c>
      <c r="C54" s="28" t="str">
        <f>IFERROR(INDEX('selected-lohe'!$A$3:$H$357,MATCH(B54,'selected-lohe'!$G$3:$G$355,0),4)&amp;"  "&amp;INDEX('selected-lohe'!$A$3:$H$357,MATCH(B54,'selected-lohe'!$G$3:$G$355,0),3),"")</f>
        <v/>
      </c>
      <c r="D54" s="28" t="str">
        <f>IFERROR(INDEX(#REF!,MATCH(B54,#REF!,0),4)&amp;" "&amp;INDEX(#REF!,MATCH(B54,#REF!,0),3),"")</f>
        <v/>
      </c>
      <c r="F54" s="28" t="str">
        <f>IFERROR(INDEX(#REF!,MATCH(B54,#REF!,0),4)&amp;"  "&amp;INDEX(#REF!,MATCH(B54,#REF!,0),3),"")</f>
        <v/>
      </c>
      <c r="I54" s="32"/>
      <c r="J54" s="1"/>
      <c r="K54" s="34"/>
      <c r="L54" s="1" t="s">
        <v>123</v>
      </c>
      <c r="M54" s="28" t="str">
        <f>IFERROR(INDEX(#REF!,MATCH(L54,#REF!,0),4)&amp;" "&amp;INDEX(#REF!,MATCH(L54,#REF!,0),3),"")</f>
        <v/>
      </c>
      <c r="N54" s="28" t="str">
        <f>IFERROR(INDEX(#REF!,MATCH(L54,#REF!,0),4)&amp;" "&amp;INDEX(#REF!,MATCH(L54,#REF!,0),3),"")</f>
        <v/>
      </c>
      <c r="P54" s="28" t="str">
        <f>IFERROR(INDEX(#REF!,MATCH(L54,#REF!,0),4)&amp;"  "&amp;INDEX(#REF!,MATCH(L54,#REF!,0),3),"")</f>
        <v/>
      </c>
      <c r="S54" s="32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</row>
    <row r="55" spans="1:47" s="28" customFormat="1" ht="24.2" customHeight="1" x14ac:dyDescent="0.25">
      <c r="A55" s="34"/>
      <c r="B55" s="1" t="s">
        <v>47</v>
      </c>
      <c r="C55" s="28" t="str">
        <f>IFERROR(INDEX('selected-lohe'!$A$3:$H$357,MATCH(B55,'selected-lohe'!$G$3:$G$355,0),4)&amp;"  "&amp;INDEX('selected-lohe'!$A$3:$H$357,MATCH(B55,'selected-lohe'!$G$3:$G$355,0),3),"")</f>
        <v/>
      </c>
      <c r="D55" s="28" t="str">
        <f>IFERROR(INDEX(#REF!,MATCH(B55,#REF!,0),4)&amp;" "&amp;INDEX(#REF!,MATCH(B55,#REF!,0),3),"")</f>
        <v/>
      </c>
      <c r="F55" s="28" t="str">
        <f>IFERROR(INDEX(#REF!,MATCH(B55,#REF!,0),4)&amp;"  "&amp;INDEX(#REF!,MATCH(B55,#REF!,0),3),"")</f>
        <v/>
      </c>
      <c r="I55" s="32"/>
      <c r="J55" s="1"/>
      <c r="K55" s="34"/>
      <c r="L55" s="1" t="s">
        <v>125</v>
      </c>
      <c r="M55" s="28" t="str">
        <f>IFERROR(INDEX(#REF!,MATCH(L55,#REF!,0),4)&amp;" "&amp;INDEX(#REF!,MATCH(L55,#REF!,0),3),"")</f>
        <v/>
      </c>
      <c r="N55" s="28" t="str">
        <f>IFERROR(INDEX(#REF!,MATCH(L55,#REF!,0),4)&amp;" "&amp;INDEX(#REF!,MATCH(L55,#REF!,0),3),"")</f>
        <v/>
      </c>
      <c r="P55" s="28" t="str">
        <f>IFERROR(INDEX(#REF!,MATCH(L55,#REF!,0),4)&amp;"  "&amp;INDEX(#REF!,MATCH(L55,#REF!,0),3),"")</f>
        <v/>
      </c>
      <c r="S55" s="32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</row>
    <row r="56" spans="1:47" s="28" customFormat="1" ht="24.2" customHeight="1" x14ac:dyDescent="0.25">
      <c r="A56" s="34"/>
      <c r="B56" s="1" t="s">
        <v>172</v>
      </c>
      <c r="C56" s="28" t="str">
        <f>IFERROR(INDEX('selected-lohe'!$A$3:$H$357,MATCH(B56,'selected-lohe'!$G$3:$G$355,0),4)&amp;"  "&amp;INDEX('selected-lohe'!$A$3:$H$357,MATCH(B56,'selected-lohe'!$G$3:$G$355,0),3),"")</f>
        <v/>
      </c>
      <c r="D56" s="28" t="str">
        <f>IFERROR(INDEX(#REF!,MATCH(B56,#REF!,0),4)&amp;" "&amp;INDEX(#REF!,MATCH(B56,#REF!,0),3),"")</f>
        <v/>
      </c>
      <c r="F56" s="28" t="str">
        <f>IFERROR(INDEX(#REF!,MATCH(B56,#REF!,0),4)&amp;"  "&amp;INDEX(#REF!,MATCH(B56,#REF!,0),3),"")</f>
        <v/>
      </c>
      <c r="I56" s="32"/>
      <c r="J56" s="1"/>
      <c r="K56" s="34"/>
      <c r="L56" s="1" t="s">
        <v>126</v>
      </c>
      <c r="M56" s="28" t="str">
        <f>IFERROR(INDEX(#REF!,MATCH(L56,#REF!,0),4)&amp;" "&amp;INDEX(#REF!,MATCH(L56,#REF!,0),3),"")</f>
        <v/>
      </c>
      <c r="N56" s="28" t="str">
        <f>IFERROR(INDEX(#REF!,MATCH(L56,#REF!,0),4)&amp;" "&amp;INDEX(#REF!,MATCH(L56,#REF!,0),3),"")</f>
        <v/>
      </c>
      <c r="P56" s="28" t="str">
        <f>IFERROR(INDEX(#REF!,MATCH(L56,#REF!,0),4)&amp;"  "&amp;INDEX(#REF!,MATCH(L56,#REF!,0),3),"")</f>
        <v/>
      </c>
      <c r="S56" s="32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</row>
    <row r="57" spans="1:47" s="28" customFormat="1" ht="24.2" customHeight="1" x14ac:dyDescent="0.25">
      <c r="A57" s="34"/>
      <c r="B57" s="1" t="s">
        <v>48</v>
      </c>
      <c r="C57" s="28" t="str">
        <f>IFERROR(INDEX('selected-lohe'!$A$3:$H$357,MATCH(B57,'selected-lohe'!$G$3:$G$355,0),4)&amp;"  "&amp;INDEX('selected-lohe'!$A$3:$H$357,MATCH(B57,'selected-lohe'!$G$3:$G$355,0),3),"")</f>
        <v/>
      </c>
      <c r="D57" s="28" t="str">
        <f>IFERROR(INDEX(#REF!,MATCH(B57,#REF!,0),4)&amp;" "&amp;INDEX(#REF!,MATCH(B57,#REF!,0),3),"")</f>
        <v/>
      </c>
      <c r="F57" s="28" t="str">
        <f>IFERROR(INDEX(#REF!,MATCH(B57,#REF!,0),4)&amp;"  "&amp;INDEX(#REF!,MATCH(B57,#REF!,0),3),"")</f>
        <v/>
      </c>
      <c r="I57" s="32"/>
      <c r="J57" s="1"/>
      <c r="K57" s="34"/>
      <c r="L57" s="1" t="s">
        <v>127</v>
      </c>
      <c r="M57" s="28" t="str">
        <f>IFERROR(INDEX(#REF!,MATCH(L57,#REF!,0),4)&amp;" "&amp;INDEX(#REF!,MATCH(L57,#REF!,0),3),"")</f>
        <v/>
      </c>
      <c r="N57" s="28" t="str">
        <f>IFERROR(INDEX(#REF!,MATCH(L57,#REF!,0),4)&amp;" "&amp;INDEX(#REF!,MATCH(L57,#REF!,0),3),"")</f>
        <v/>
      </c>
      <c r="P57" s="28" t="str">
        <f>IFERROR(INDEX(#REF!,MATCH(L57,#REF!,0),4)&amp;"  "&amp;INDEX(#REF!,MATCH(L57,#REF!,0),3),"")</f>
        <v/>
      </c>
      <c r="S57" s="32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</row>
    <row r="58" spans="1:47" s="28" customFormat="1" ht="24.2" customHeight="1" x14ac:dyDescent="0.25">
      <c r="A58" s="34"/>
      <c r="B58" s="1" t="s">
        <v>49</v>
      </c>
      <c r="C58" s="28" t="str">
        <f>IFERROR(INDEX('selected-lohe'!$A$3:$H$357,MATCH(B58,'selected-lohe'!$G$3:$G$355,0),4)&amp;"  "&amp;INDEX('selected-lohe'!$A$3:$H$357,MATCH(B58,'selected-lohe'!$G$3:$G$355,0),3),"")</f>
        <v/>
      </c>
      <c r="D58" s="28" t="str">
        <f>IFERROR(INDEX(#REF!,MATCH(B58,#REF!,0),4)&amp;" "&amp;INDEX(#REF!,MATCH(B58,#REF!,0),3),"")</f>
        <v/>
      </c>
      <c r="F58" s="28" t="str">
        <f>IFERROR(INDEX(#REF!,MATCH(B58,#REF!,0),4)&amp;"  "&amp;INDEX(#REF!,MATCH(B58,#REF!,0),3),"")</f>
        <v/>
      </c>
      <c r="I58" s="32"/>
      <c r="J58" s="1"/>
      <c r="K58" s="34"/>
      <c r="L58" s="1" t="s">
        <v>130</v>
      </c>
      <c r="M58" s="28" t="str">
        <f>IFERROR(INDEX(#REF!,MATCH(L58,#REF!,0),4)&amp;" "&amp;INDEX(#REF!,MATCH(L58,#REF!,0),3),"")</f>
        <v/>
      </c>
      <c r="N58" s="28" t="str">
        <f>IFERROR(INDEX(#REF!,MATCH(L58,#REF!,0),4)&amp;" "&amp;INDEX(#REF!,MATCH(L58,#REF!,0),3),"")</f>
        <v/>
      </c>
      <c r="P58" s="28" t="str">
        <f>IFERROR(INDEX(#REF!,MATCH(L58,#REF!,0),4)&amp;"  "&amp;INDEX(#REF!,MATCH(L58,#REF!,0),3),"")</f>
        <v/>
      </c>
      <c r="S58" s="32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</row>
    <row r="59" spans="1:47" s="28" customFormat="1" ht="24.2" customHeight="1" x14ac:dyDescent="0.25">
      <c r="A59" s="34"/>
      <c r="B59" s="1" t="s">
        <v>50</v>
      </c>
      <c r="C59" s="28" t="str">
        <f>IFERROR(INDEX('selected-lohe'!$A$3:$H$357,MATCH(B59,'selected-lohe'!$G$3:$G$355,0),4)&amp;"  "&amp;INDEX('selected-lohe'!$A$3:$H$357,MATCH(B59,'selected-lohe'!$G$3:$G$355,0),3),"")</f>
        <v/>
      </c>
      <c r="D59" s="28" t="str">
        <f>IFERROR(INDEX(#REF!,MATCH(B59,#REF!,0),4)&amp;" "&amp;INDEX(#REF!,MATCH(B59,#REF!,0),3),"")</f>
        <v/>
      </c>
      <c r="F59" s="28" t="str">
        <f>IFERROR(INDEX(#REF!,MATCH(B59,#REF!,0),4)&amp;"  "&amp;INDEX(#REF!,MATCH(B59,#REF!,0),3),"")</f>
        <v/>
      </c>
      <c r="I59" s="32"/>
      <c r="J59" s="1"/>
      <c r="K59" s="34"/>
      <c r="L59" s="1" t="s">
        <v>52</v>
      </c>
      <c r="M59" s="28" t="str">
        <f>IFERROR(INDEX(#REF!,MATCH(L59,#REF!,0),4)&amp;" "&amp;INDEX(#REF!,MATCH(L59,#REF!,0),3),"")</f>
        <v/>
      </c>
      <c r="N59" s="28" t="str">
        <f>IFERROR(INDEX(#REF!,MATCH(L59,#REF!,0),4)&amp;" "&amp;INDEX(#REF!,MATCH(L59,#REF!,0),3),"")</f>
        <v/>
      </c>
      <c r="P59" s="28" t="str">
        <f>IFERROR(INDEX(#REF!,MATCH(L59,#REF!,0),4)&amp;"  "&amp;INDEX(#REF!,MATCH(L59,#REF!,0),3),"")</f>
        <v/>
      </c>
      <c r="S59" s="32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</row>
    <row r="60" spans="1:47" s="28" customFormat="1" ht="24.2" customHeight="1" x14ac:dyDescent="0.25">
      <c r="A60" s="34"/>
      <c r="B60" s="1" t="s">
        <v>173</v>
      </c>
      <c r="C60" s="28" t="str">
        <f>IFERROR(INDEX('selected-lohe'!$A$3:$H$357,MATCH(B60,'selected-lohe'!$G$3:$G$355,0),4)&amp;"  "&amp;INDEX('selected-lohe'!$A$3:$H$357,MATCH(B60,'selected-lohe'!$G$3:$G$355,0),3),"")</f>
        <v/>
      </c>
      <c r="D60" s="28" t="str">
        <f>IFERROR(INDEX(#REF!,MATCH(B60,#REF!,0),4)&amp;" "&amp;INDEX(#REF!,MATCH(B60,#REF!,0),3),"")</f>
        <v/>
      </c>
      <c r="F60" s="28" t="str">
        <f>IFERROR(INDEX(#REF!,MATCH(B60,#REF!,0),4)&amp;"  "&amp;INDEX(#REF!,MATCH(B60,#REF!,0),3),"")</f>
        <v/>
      </c>
      <c r="I60" s="32"/>
      <c r="J60" s="1"/>
      <c r="K60" s="34"/>
      <c r="L60" s="1" t="s">
        <v>132</v>
      </c>
      <c r="M60" s="28" t="str">
        <f>IFERROR(INDEX(#REF!,MATCH(L60,#REF!,0),4)&amp;" "&amp;INDEX(#REF!,MATCH(L60,#REF!,0),3),"")</f>
        <v/>
      </c>
      <c r="N60" s="28" t="str">
        <f>IFERROR(INDEX(#REF!,MATCH(L60,#REF!,0),4)&amp;" "&amp;INDEX(#REF!,MATCH(L60,#REF!,0),3),"")</f>
        <v/>
      </c>
      <c r="P60" s="28" t="str">
        <f>IFERROR(INDEX(#REF!,MATCH(L60,#REF!,0),4)&amp;"  "&amp;INDEX(#REF!,MATCH(L60,#REF!,0),3),"")</f>
        <v/>
      </c>
      <c r="S60" s="32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</row>
    <row r="61" spans="1:47" s="28" customFormat="1" ht="24.2" customHeight="1" x14ac:dyDescent="0.25">
      <c r="A61" s="34"/>
      <c r="B61" s="1" t="s">
        <v>51</v>
      </c>
      <c r="C61" s="28" t="str">
        <f>IFERROR(INDEX('selected-lohe'!$A$3:$H$357,MATCH(B61,'selected-lohe'!$G$3:$G$355,0),4)&amp;"  "&amp;INDEX('selected-lohe'!$A$3:$H$357,MATCH(B61,'selected-lohe'!$G$3:$G$355,0),3),"")</f>
        <v/>
      </c>
      <c r="D61" s="28" t="str">
        <f>IFERROR(INDEX(#REF!,MATCH(B61,#REF!,0),4)&amp;" "&amp;INDEX(#REF!,MATCH(B61,#REF!,0),3),"")</f>
        <v/>
      </c>
      <c r="F61" s="28" t="str">
        <f>IFERROR(INDEX(#REF!,MATCH(B61,#REF!,0),4)&amp;"  "&amp;INDEX(#REF!,MATCH(B61,#REF!,0),3),"")</f>
        <v/>
      </c>
      <c r="I61" s="32"/>
      <c r="J61" s="1"/>
      <c r="K61" s="34"/>
      <c r="L61" s="1" t="s">
        <v>133</v>
      </c>
      <c r="M61" s="28" t="str">
        <f>IFERROR(INDEX(#REF!,MATCH(L61,#REF!,0),4)&amp;" "&amp;INDEX(#REF!,MATCH(L61,#REF!,0),3),"")</f>
        <v/>
      </c>
      <c r="N61" s="28" t="str">
        <f>IFERROR(INDEX(#REF!,MATCH(L61,#REF!,0),4)&amp;" "&amp;INDEX(#REF!,MATCH(L61,#REF!,0),3),"")</f>
        <v/>
      </c>
      <c r="P61" s="28" t="str">
        <f>IFERROR(INDEX(#REF!,MATCH(L61,#REF!,0),4)&amp;"  "&amp;INDEX(#REF!,MATCH(L61,#REF!,0),3),"")</f>
        <v/>
      </c>
      <c r="S61" s="32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</row>
    <row r="62" spans="1:47" s="28" customFormat="1" ht="24.2" customHeight="1" x14ac:dyDescent="0.25">
      <c r="A62" s="34"/>
      <c r="B62" s="1" t="s">
        <v>174</v>
      </c>
      <c r="C62" s="28" t="str">
        <f>IFERROR(INDEX('selected-lohe'!$A$3:$H$357,MATCH(B62,'selected-lohe'!$G$3:$G$355,0),4)&amp;"  "&amp;INDEX('selected-lohe'!$A$3:$H$357,MATCH(B62,'selected-lohe'!$G$3:$G$355,0),3),"")</f>
        <v/>
      </c>
      <c r="D62" s="28" t="str">
        <f>IFERROR(INDEX(#REF!,MATCH(B62,#REF!,0),4)&amp;" "&amp;INDEX(#REF!,MATCH(B62,#REF!,0),3),"")</f>
        <v/>
      </c>
      <c r="F62" s="28" t="str">
        <f>IFERROR(INDEX(#REF!,MATCH(B62,#REF!,0),4)&amp;"  "&amp;INDEX(#REF!,MATCH(B62,#REF!,0),3),"")</f>
        <v/>
      </c>
      <c r="I62" s="32"/>
      <c r="J62" s="1"/>
      <c r="K62" s="34"/>
      <c r="L62" s="1" t="s">
        <v>135</v>
      </c>
      <c r="M62" s="28" t="str">
        <f>IFERROR(INDEX(#REF!,MATCH(L62,#REF!,0),4)&amp;" "&amp;INDEX(#REF!,MATCH(L62,#REF!,0),3),"")</f>
        <v/>
      </c>
      <c r="N62" s="28" t="str">
        <f>IFERROR(INDEX(#REF!,MATCH(L62,#REF!,0),4)&amp;" "&amp;INDEX(#REF!,MATCH(L62,#REF!,0),3),"")</f>
        <v/>
      </c>
      <c r="P62" s="28" t="str">
        <f>IFERROR(INDEX(#REF!,MATCH(L62,#REF!,0),4)&amp;"  "&amp;INDEX(#REF!,MATCH(L62,#REF!,0),3),"")</f>
        <v/>
      </c>
      <c r="S62" s="32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</row>
    <row r="63" spans="1:47" s="28" customFormat="1" ht="24.2" customHeight="1" x14ac:dyDescent="0.25">
      <c r="A63" s="34"/>
      <c r="B63" s="1" t="s">
        <v>175</v>
      </c>
      <c r="C63" s="28" t="str">
        <f>IFERROR(INDEX('selected-lohe'!$A$3:$H$357,MATCH(B63,'selected-lohe'!$G$3:$G$355,0),4)&amp;"  "&amp;INDEX('selected-lohe'!$A$3:$H$357,MATCH(B63,'selected-lohe'!$G$3:$G$355,0),3),"")</f>
        <v/>
      </c>
      <c r="D63" s="28" t="str">
        <f>IFERROR(INDEX(#REF!,MATCH(B63,#REF!,0),4)&amp;" "&amp;INDEX(#REF!,MATCH(B63,#REF!,0),3),"")</f>
        <v/>
      </c>
      <c r="F63" s="28" t="str">
        <f>IFERROR(INDEX(#REF!,MATCH(B63,#REF!,0),4)&amp;"  "&amp;INDEX(#REF!,MATCH(B63,#REF!,0),3),"")</f>
        <v/>
      </c>
      <c r="I63" s="32"/>
      <c r="J63" s="1"/>
      <c r="K63" s="34"/>
      <c r="L63" s="1" t="s">
        <v>136</v>
      </c>
      <c r="M63" s="28" t="str">
        <f>IFERROR(INDEX(#REF!,MATCH(L63,#REF!,0),4)&amp;" "&amp;INDEX(#REF!,MATCH(L63,#REF!,0),3),"")</f>
        <v/>
      </c>
      <c r="N63" s="28" t="str">
        <f>IFERROR(INDEX(#REF!,MATCH(L63,#REF!,0),4)&amp;" "&amp;INDEX(#REF!,MATCH(L63,#REF!,0),3),"")</f>
        <v/>
      </c>
      <c r="P63" s="28" t="str">
        <f>IFERROR(INDEX(#REF!,MATCH(L63,#REF!,0),4)&amp;"  "&amp;INDEX(#REF!,MATCH(L63,#REF!,0),3),"")</f>
        <v/>
      </c>
      <c r="S63" s="32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</row>
    <row r="64" spans="1:47" s="28" customFormat="1" ht="24.2" customHeight="1" x14ac:dyDescent="0.25">
      <c r="A64" s="34"/>
      <c r="B64" s="1" t="s">
        <v>176</v>
      </c>
      <c r="C64" s="28" t="str">
        <f>IFERROR(INDEX('selected-lohe'!$A$3:$H$357,MATCH(B64,'selected-lohe'!$G$3:$G$355,0),4)&amp;"  "&amp;INDEX('selected-lohe'!$A$3:$H$357,MATCH(B64,'selected-lohe'!$G$3:$G$355,0),3),"")</f>
        <v/>
      </c>
      <c r="D64" s="28" t="str">
        <f>IFERROR(INDEX(#REF!,MATCH(B64,#REF!,0),4)&amp;" "&amp;INDEX(#REF!,MATCH(B64,#REF!,0),3),"")</f>
        <v/>
      </c>
      <c r="F64" s="28" t="str">
        <f>IFERROR(INDEX(#REF!,MATCH(B64,#REF!,0),4)&amp;"  "&amp;INDEX(#REF!,MATCH(B64,#REF!,0),3),"")</f>
        <v/>
      </c>
      <c r="I64" s="32"/>
      <c r="J64" s="33"/>
      <c r="K64" s="34"/>
      <c r="L64" s="1" t="s">
        <v>139</v>
      </c>
      <c r="M64" s="28" t="str">
        <f>IFERROR(INDEX(#REF!,MATCH(L64,#REF!,0),4)&amp;" "&amp;INDEX(#REF!,MATCH(L64,#REF!,0),3),"")</f>
        <v/>
      </c>
      <c r="N64" s="28" t="str">
        <f>IFERROR(INDEX(#REF!,MATCH(L64,#REF!,0),4)&amp;" "&amp;INDEX(#REF!,MATCH(L64,#REF!,0),3),"")</f>
        <v/>
      </c>
      <c r="P64" s="28" t="str">
        <f>IFERROR(INDEX(#REF!,MATCH(L64,#REF!,0),4)&amp;"  "&amp;INDEX(#REF!,MATCH(L64,#REF!,0),3),"")</f>
        <v/>
      </c>
      <c r="S64" s="32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</row>
    <row r="65" spans="1:47" s="28" customFormat="1" ht="24.2" customHeight="1" thickBot="1" x14ac:dyDescent="0.3">
      <c r="A65" s="38"/>
      <c r="B65" s="20" t="s">
        <v>53</v>
      </c>
      <c r="C65" s="35" t="str">
        <f>IFERROR(INDEX('selected-lohe'!$A$3:$H$357,MATCH(B65,'selected-lohe'!$G$3:$G$355,0),4)&amp;"  "&amp;INDEX('selected-lohe'!$A$3:$H$357,MATCH(B65,'selected-lohe'!$G$3:$G$355,0),3),"")</f>
        <v/>
      </c>
      <c r="D65" s="35" t="str">
        <f>IFERROR(INDEX(#REF!,MATCH(B65,#REF!,0),4)&amp;" "&amp;INDEX(#REF!,MATCH(B65,#REF!,0),3),"")</f>
        <v/>
      </c>
      <c r="E65" s="35"/>
      <c r="F65" s="35" t="str">
        <f>IFERROR(INDEX(#REF!,MATCH(B65,#REF!,0),4)&amp;"  "&amp;INDEX(#REF!,MATCH(B65,#REF!,0),3),"")</f>
        <v/>
      </c>
      <c r="G65" s="35"/>
      <c r="H65" s="35"/>
      <c r="I65" s="39"/>
      <c r="J65" s="20"/>
      <c r="K65" s="38"/>
      <c r="L65" s="20" t="s">
        <v>140</v>
      </c>
      <c r="M65" s="35" t="str">
        <f>IFERROR(INDEX(#REF!,MATCH(L65,#REF!,0),4)&amp;" "&amp;INDEX(#REF!,MATCH(L65,#REF!,0),3),"")</f>
        <v/>
      </c>
      <c r="N65" s="35" t="str">
        <f>IFERROR(INDEX(#REF!,MATCH(L65,#REF!,0),4)&amp;" "&amp;INDEX(#REF!,MATCH(L65,#REF!,0),3),"")</f>
        <v/>
      </c>
      <c r="O65" s="35"/>
      <c r="P65" s="35" t="str">
        <f>IFERROR(INDEX(#REF!,MATCH(L65,#REF!,0),4)&amp;"  "&amp;INDEX(#REF!,MATCH(L65,#REF!,0),3),"")</f>
        <v/>
      </c>
      <c r="Q65" s="35"/>
      <c r="R65" s="35"/>
      <c r="S65" s="39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</row>
    <row r="66" spans="1:47" s="36" customFormat="1" ht="11.25" customHeight="1" x14ac:dyDescent="0.25">
      <c r="B66" s="10"/>
      <c r="L66" s="10"/>
    </row>
    <row r="67" spans="1:47" ht="13.5" customHeight="1" thickBot="1" x14ac:dyDescent="0.3"/>
    <row r="68" spans="1:47" s="19" customFormat="1" ht="20.25" customHeight="1" thickBot="1" x14ac:dyDescent="0.3">
      <c r="A68" s="17"/>
      <c r="B68" s="18" t="s">
        <v>10</v>
      </c>
      <c r="C68" s="23" t="s">
        <v>9</v>
      </c>
      <c r="D68" s="18"/>
      <c r="E68" s="18" t="s">
        <v>11</v>
      </c>
      <c r="F68" s="25" t="s">
        <v>12</v>
      </c>
      <c r="G68" s="266" t="e">
        <f>#REF!</f>
        <v>#REF!</v>
      </c>
      <c r="H68" s="266"/>
      <c r="I68" s="267"/>
      <c r="J68" s="37"/>
      <c r="K68" s="17"/>
      <c r="L68" s="18" t="s">
        <v>10</v>
      </c>
      <c r="M68" s="26" t="s">
        <v>12</v>
      </c>
      <c r="N68" s="18"/>
      <c r="O68" s="18" t="s">
        <v>11</v>
      </c>
      <c r="P68" s="27" t="s">
        <v>9</v>
      </c>
      <c r="Q68" s="263"/>
      <c r="R68" s="263"/>
      <c r="S68" s="264"/>
    </row>
    <row r="69" spans="1:47" ht="33" customHeight="1" thickBot="1" x14ac:dyDescent="0.3">
      <c r="A69" s="31" t="s">
        <v>0</v>
      </c>
      <c r="B69" s="13" t="s">
        <v>1</v>
      </c>
      <c r="C69" s="24" t="s">
        <v>2</v>
      </c>
      <c r="D69" s="14" t="s">
        <v>3</v>
      </c>
      <c r="E69" s="14" t="s">
        <v>4</v>
      </c>
      <c r="F69" s="24" t="s">
        <v>5</v>
      </c>
      <c r="G69" s="15" t="s">
        <v>6</v>
      </c>
      <c r="H69" s="41" t="s">
        <v>7</v>
      </c>
      <c r="I69" s="16" t="s">
        <v>8</v>
      </c>
      <c r="K69" s="31" t="s">
        <v>0</v>
      </c>
      <c r="L69" s="13" t="s">
        <v>1</v>
      </c>
      <c r="M69" s="24" t="s">
        <v>2</v>
      </c>
      <c r="N69" s="14" t="s">
        <v>3</v>
      </c>
      <c r="O69" s="14" t="s">
        <v>4</v>
      </c>
      <c r="P69" s="24" t="s">
        <v>5</v>
      </c>
      <c r="Q69" s="15" t="s">
        <v>6</v>
      </c>
      <c r="R69" s="41" t="s">
        <v>7</v>
      </c>
      <c r="S69" s="16" t="s">
        <v>8</v>
      </c>
    </row>
    <row r="70" spans="1:47" ht="24" customHeight="1" x14ac:dyDescent="0.25">
      <c r="A70" s="5"/>
      <c r="B70" s="1" t="s">
        <v>177</v>
      </c>
      <c r="C70" s="28" t="str">
        <f>IFERROR(INDEX('selected-lohe'!$A$3:$H$357,MATCH(B70,'selected-lohe'!$G$3:$G$355,0),4)&amp;" "&amp;INDEX('selected-lohe'!$A$3:$H$357,MATCH(B70,'selected-lohe'!$G$3:$G$355,0),3),"")</f>
        <v/>
      </c>
      <c r="D70" s="28" t="str">
        <f>IFERROR(INDEX(#REF!,MATCH(B70,#REF!,0),4)&amp;" "&amp;INDEX(#REF!,MATCH(B70,#REF!,0),3),"")</f>
        <v/>
      </c>
      <c r="E70" s="28"/>
      <c r="F70" s="28" t="str">
        <f>IFERROR(INDEX(#REF!,MATCH(B70,#REF!,0),4)&amp;" "&amp;INDEX(#REF!,MATCH(B70,#REF!,0),3),"")</f>
        <v/>
      </c>
      <c r="G70" s="3"/>
      <c r="H70" s="4"/>
      <c r="I70" s="6"/>
      <c r="K70" s="5"/>
      <c r="L70" s="1" t="s">
        <v>56</v>
      </c>
      <c r="M70" s="28" t="str">
        <f>IFERROR(INDEX(#REF!,MATCH(L70,#REF!,0),4)&amp;" "&amp;INDEX(#REF!,MATCH(L70,#REF!,0),3),"")</f>
        <v/>
      </c>
      <c r="N70" s="28" t="str">
        <f>IFERROR(INDEX(#REF!,MATCH(L70,#REF!,0),4)&amp;" "&amp;INDEX(#REF!,MATCH(L70,#REF!,0),3),"")</f>
        <v/>
      </c>
      <c r="O70" s="28"/>
      <c r="P70" s="28" t="str">
        <f>IFERROR(INDEX(#REF!,MATCH(L70,#REF!,0),4)&amp;"  "&amp;INDEX(#REF!,MATCH(L70,#REF!,0),3),"")</f>
        <v/>
      </c>
      <c r="Q70" s="3"/>
      <c r="R70" s="4"/>
      <c r="S70" s="6"/>
    </row>
    <row r="71" spans="1:47" ht="24" customHeight="1" x14ac:dyDescent="0.25">
      <c r="A71" s="5"/>
      <c r="B71" s="1" t="s">
        <v>178</v>
      </c>
      <c r="C71" s="28" t="str">
        <f>IFERROR(INDEX('selected-lohe'!$A$3:$H$357,MATCH(B71,'selected-lohe'!$G$3:$G$355,0),4)&amp;" "&amp;INDEX('selected-lohe'!$A$3:$H$357,MATCH(B71,'selected-lohe'!$G$3:$G$355,0),3),"")</f>
        <v/>
      </c>
      <c r="D71" s="28" t="str">
        <f>IFERROR(INDEX(#REF!,MATCH(B71,#REF!,0),4)&amp;" "&amp;INDEX(#REF!,MATCH(B71,#REF!,0),3),"")</f>
        <v/>
      </c>
      <c r="E71" s="28"/>
      <c r="F71" s="28" t="str">
        <f>IFERROR(INDEX(#REF!,MATCH(B71,#REF!,0),4)&amp;" "&amp;INDEX(#REF!,MATCH(B71,#REF!,0),3),"")</f>
        <v/>
      </c>
      <c r="G71" s="3"/>
      <c r="H71" s="4"/>
      <c r="I71" s="6"/>
      <c r="K71" s="5"/>
      <c r="L71" s="1" t="s">
        <v>142</v>
      </c>
      <c r="M71" s="28" t="str">
        <f>IFERROR(INDEX(#REF!,MATCH(L71,#REF!,0),4)&amp;" "&amp;INDEX(#REF!,MATCH(L71,#REF!,0),3),"")</f>
        <v/>
      </c>
      <c r="N71" s="28" t="str">
        <f>IFERROR(INDEX(#REF!,MATCH(L71,#REF!,0),4)&amp;" "&amp;INDEX(#REF!,MATCH(L71,#REF!,0),3),"")</f>
        <v/>
      </c>
      <c r="O71" s="28"/>
      <c r="P71" s="28" t="str">
        <f>IFERROR(INDEX(#REF!,MATCH(L71,#REF!,0),4)&amp;"  "&amp;INDEX(#REF!,MATCH(L71,#REF!,0),3),"")</f>
        <v/>
      </c>
      <c r="Q71" s="3"/>
      <c r="R71" s="4"/>
      <c r="S71" s="6"/>
    </row>
    <row r="72" spans="1:47" ht="24" customHeight="1" x14ac:dyDescent="0.25">
      <c r="A72" s="5"/>
      <c r="B72" s="1" t="s">
        <v>54</v>
      </c>
      <c r="C72" s="28" t="str">
        <f>IFERROR(INDEX('selected-lohe'!$A$3:$H$357,MATCH(B72,'selected-lohe'!$G$3:$G$355,0),4)&amp;" "&amp;INDEX('selected-lohe'!$A$3:$H$357,MATCH(B72,'selected-lohe'!$G$3:$G$355,0),3),"")</f>
        <v/>
      </c>
      <c r="D72" s="28" t="str">
        <f>IFERROR(INDEX(#REF!,MATCH(B72,#REF!,0),4)&amp;" "&amp;INDEX(#REF!,MATCH(B72,#REF!,0),3),"")</f>
        <v/>
      </c>
      <c r="E72" s="28"/>
      <c r="F72" s="28" t="str">
        <f>IFERROR(INDEX(#REF!,MATCH(B72,#REF!,0),4)&amp;" "&amp;INDEX(#REF!,MATCH(B72,#REF!,0),3),"")</f>
        <v/>
      </c>
      <c r="G72" s="3"/>
      <c r="H72" s="4"/>
      <c r="I72" s="6"/>
      <c r="K72" s="5"/>
      <c r="L72" s="1" t="s">
        <v>144</v>
      </c>
      <c r="M72" s="28" t="str">
        <f>IFERROR(INDEX(#REF!,MATCH(L72,#REF!,0),4)&amp;" "&amp;INDEX(#REF!,MATCH(L72,#REF!,0),3),"")</f>
        <v/>
      </c>
      <c r="N72" s="28" t="str">
        <f>IFERROR(INDEX(#REF!,MATCH(L72,#REF!,0),4)&amp;" "&amp;INDEX(#REF!,MATCH(L72,#REF!,0),3),"")</f>
        <v/>
      </c>
      <c r="O72" s="28"/>
      <c r="P72" s="28" t="str">
        <f>IFERROR(INDEX(#REF!,MATCH(L72,#REF!,0),4)&amp;"  "&amp;INDEX(#REF!,MATCH(L72,#REF!,0),3),"")</f>
        <v/>
      </c>
      <c r="Q72" s="3"/>
      <c r="R72" s="4"/>
      <c r="S72" s="6"/>
    </row>
    <row r="73" spans="1:47" ht="24" customHeight="1" x14ac:dyDescent="0.25">
      <c r="A73" s="5"/>
      <c r="B73" s="1" t="s">
        <v>179</v>
      </c>
      <c r="C73" s="28" t="str">
        <f>IFERROR(INDEX('selected-lohe'!$A$3:$H$357,MATCH(B73,'selected-lohe'!$G$3:$G$355,0),4)&amp;" "&amp;INDEX('selected-lohe'!$A$3:$H$357,MATCH(B73,'selected-lohe'!$G$3:$G$355,0),3),"")</f>
        <v/>
      </c>
      <c r="D73" s="28" t="str">
        <f>IFERROR(INDEX(#REF!,MATCH(B73,#REF!,0),4)&amp;" "&amp;INDEX(#REF!,MATCH(B73,#REF!,0),3),"")</f>
        <v/>
      </c>
      <c r="E73" s="28"/>
      <c r="F73" s="28" t="str">
        <f>IFERROR(INDEX(#REF!,MATCH(B73,#REF!,0),4)&amp;" "&amp;INDEX(#REF!,MATCH(B73,#REF!,0),3),"")</f>
        <v/>
      </c>
      <c r="G73" s="3"/>
      <c r="H73" s="4"/>
      <c r="I73" s="6"/>
      <c r="K73" s="5"/>
      <c r="L73" s="1" t="s">
        <v>146</v>
      </c>
      <c r="M73" s="28" t="str">
        <f>IFERROR(INDEX(#REF!,MATCH(L73,#REF!,0),4)&amp;" "&amp;INDEX(#REF!,MATCH(L73,#REF!,0),3),"")</f>
        <v/>
      </c>
      <c r="N73" s="28" t="str">
        <f>IFERROR(INDEX(#REF!,MATCH(L73,#REF!,0),4)&amp;" "&amp;INDEX(#REF!,MATCH(L73,#REF!,0),3),"")</f>
        <v/>
      </c>
      <c r="O73" s="28"/>
      <c r="P73" s="28" t="str">
        <f>IFERROR(INDEX(#REF!,MATCH(L73,#REF!,0),4)&amp;"  "&amp;INDEX(#REF!,MATCH(L73,#REF!,0),3),"")</f>
        <v/>
      </c>
      <c r="Q73" s="3"/>
      <c r="R73" s="4"/>
      <c r="S73" s="6"/>
    </row>
    <row r="74" spans="1:47" ht="24" customHeight="1" x14ac:dyDescent="0.25">
      <c r="A74" s="5"/>
      <c r="B74" s="1" t="s">
        <v>55</v>
      </c>
      <c r="C74" s="28" t="str">
        <f>IFERROR(INDEX('selected-lohe'!$A$3:$H$357,MATCH(B74,'selected-lohe'!$G$3:$G$355,0),4)&amp;" "&amp;INDEX('selected-lohe'!$A$3:$H$357,MATCH(B74,'selected-lohe'!$G$3:$G$355,0),3),"")</f>
        <v/>
      </c>
      <c r="D74" s="28" t="str">
        <f>IFERROR(INDEX(#REF!,MATCH(B74,#REF!,0),4)&amp;" "&amp;INDEX(#REF!,MATCH(B74,#REF!,0),3),"")</f>
        <v/>
      </c>
      <c r="E74" s="28"/>
      <c r="F74" s="28" t="str">
        <f>IFERROR(INDEX(#REF!,MATCH(B74,#REF!,0),4)&amp;" "&amp;INDEX(#REF!,MATCH(B74,#REF!,0),3),"")</f>
        <v/>
      </c>
      <c r="G74" s="3"/>
      <c r="H74" s="4"/>
      <c r="I74" s="6"/>
      <c r="K74" s="5"/>
      <c r="L74" s="1" t="s">
        <v>149</v>
      </c>
      <c r="M74" s="28" t="str">
        <f>IFERROR(INDEX(#REF!,MATCH(L74,#REF!,0),4)&amp;" "&amp;INDEX(#REF!,MATCH(L74,#REF!,0),3),"")</f>
        <v/>
      </c>
      <c r="N74" s="28" t="str">
        <f>IFERROR(INDEX(#REF!,MATCH(L74,#REF!,0),4)&amp;" "&amp;INDEX(#REF!,MATCH(L74,#REF!,0),3),"")</f>
        <v/>
      </c>
      <c r="P74" s="28" t="str">
        <f>IFERROR(INDEX(#REF!,MATCH(L74,#REF!,0),4)&amp;"  "&amp;INDEX(#REF!,MATCH(L74,#REF!,0),3),"")</f>
        <v/>
      </c>
      <c r="Q74" s="3"/>
      <c r="R74" s="4"/>
      <c r="S74" s="6"/>
    </row>
    <row r="75" spans="1:47" ht="24" customHeight="1" x14ac:dyDescent="0.25">
      <c r="A75" s="5"/>
      <c r="B75" s="1" t="s">
        <v>180</v>
      </c>
      <c r="C75" s="28" t="str">
        <f>IFERROR(INDEX('selected-lohe'!$A$3:$H$357,MATCH(B75,'selected-lohe'!$G$3:$G$355,0),4)&amp;" "&amp;INDEX('selected-lohe'!$A$3:$H$357,MATCH(B75,'selected-lohe'!$G$3:$G$355,0),3),"")</f>
        <v/>
      </c>
      <c r="D75" s="28" t="str">
        <f>IFERROR(INDEX(#REF!,MATCH(B75,#REF!,0),4)&amp;" "&amp;INDEX(#REF!,MATCH(B75,#REF!,0),3),"")</f>
        <v/>
      </c>
      <c r="E75" s="28"/>
      <c r="F75" s="28" t="str">
        <f>IFERROR(INDEX(#REF!,MATCH(B75,#REF!,0),4)&amp;" "&amp;INDEX(#REF!,MATCH(B75,#REF!,0),3),"")</f>
        <v/>
      </c>
      <c r="G75" s="3"/>
      <c r="H75" s="4"/>
      <c r="I75" s="6"/>
      <c r="K75" s="5"/>
      <c r="L75" s="1" t="s">
        <v>150</v>
      </c>
      <c r="M75" s="28" t="str">
        <f>IFERROR(INDEX(#REF!,MATCH(L75,#REF!,0),4)&amp;" "&amp;INDEX(#REF!,MATCH(L75,#REF!,0),3),"")</f>
        <v/>
      </c>
      <c r="N75" s="28" t="str">
        <f>IFERROR(INDEX(#REF!,MATCH(L75,#REF!,0),4)&amp;" "&amp;INDEX(#REF!,MATCH(L75,#REF!,0),3),"")</f>
        <v/>
      </c>
      <c r="O75" s="28"/>
      <c r="P75" s="28" t="str">
        <f>IFERROR(INDEX(#REF!,MATCH(L75,#REF!,0),4)&amp;"  "&amp;INDEX(#REF!,MATCH(L75,#REF!,0),3),"")</f>
        <v/>
      </c>
      <c r="Q75" s="3"/>
      <c r="R75" s="4"/>
      <c r="S75" s="6"/>
    </row>
    <row r="76" spans="1:47" ht="24" customHeight="1" x14ac:dyDescent="0.25">
      <c r="A76" s="5"/>
      <c r="B76" s="1" t="s">
        <v>181</v>
      </c>
      <c r="C76" s="28" t="str">
        <f>IFERROR(INDEX('selected-lohe'!$A$3:$H$357,MATCH(B76,'selected-lohe'!$G$3:$G$355,0),4)&amp;" "&amp;INDEX('selected-lohe'!$A$3:$H$357,MATCH(B76,'selected-lohe'!$G$3:$G$355,0),3),"")</f>
        <v/>
      </c>
      <c r="D76" s="28" t="str">
        <f>IFERROR(INDEX(#REF!,MATCH(B76,#REF!,0),4)&amp;" "&amp;INDEX(#REF!,MATCH(B76,#REF!,0),3),"")</f>
        <v/>
      </c>
      <c r="E76" s="28"/>
      <c r="F76" s="28" t="str">
        <f>IFERROR(INDEX(#REF!,MATCH(B76,#REF!,0),4)&amp;" "&amp;INDEX(#REF!,MATCH(B76,#REF!,0),3),"")</f>
        <v/>
      </c>
      <c r="G76" s="3"/>
      <c r="H76" s="4"/>
      <c r="I76" s="6"/>
      <c r="K76" s="5"/>
      <c r="L76" s="1" t="s">
        <v>151</v>
      </c>
      <c r="M76" s="28" t="str">
        <f>IFERROR(INDEX(#REF!,MATCH(L76,#REF!,0),4)&amp;" "&amp;INDEX(#REF!,MATCH(L76,#REF!,0),3),"")</f>
        <v/>
      </c>
      <c r="N76" s="28" t="str">
        <f>IFERROR(INDEX(#REF!,MATCH(L76,#REF!,0),4)&amp;" "&amp;INDEX(#REF!,MATCH(L76,#REF!,0),3),"")</f>
        <v/>
      </c>
      <c r="O76" s="28"/>
      <c r="P76" s="28" t="str">
        <f>IFERROR(INDEX(#REF!,MATCH(L76,#REF!,0),4)&amp;"  "&amp;INDEX(#REF!,MATCH(L76,#REF!,0),3),"")</f>
        <v/>
      </c>
      <c r="Q76" s="3"/>
      <c r="R76" s="4"/>
      <c r="S76" s="6"/>
    </row>
    <row r="77" spans="1:47" ht="24" customHeight="1" x14ac:dyDescent="0.25">
      <c r="A77" s="5"/>
      <c r="B77" s="1" t="s">
        <v>182</v>
      </c>
      <c r="C77" s="28" t="str">
        <f>IFERROR(INDEX('selected-lohe'!$A$3:$H$357,MATCH(B77,'selected-lohe'!$G$3:$G$355,0),4)&amp;" "&amp;INDEX('selected-lohe'!$A$3:$H$357,MATCH(B77,'selected-lohe'!$G$3:$G$355,0),3),"")</f>
        <v/>
      </c>
      <c r="D77" s="28" t="str">
        <f>IFERROR(INDEX(#REF!,MATCH(B77,#REF!,0),4)&amp;" "&amp;INDEX(#REF!,MATCH(B77,#REF!,0),3),"")</f>
        <v/>
      </c>
      <c r="E77" s="28"/>
      <c r="F77" s="28" t="str">
        <f>IFERROR(INDEX(#REF!,MATCH(B77,#REF!,0),4)&amp;" "&amp;INDEX(#REF!,MATCH(B77,#REF!,0),3),"")</f>
        <v/>
      </c>
      <c r="G77" s="3"/>
      <c r="H77" s="4"/>
      <c r="I77" s="6"/>
      <c r="K77" s="5"/>
      <c r="L77" s="1" t="s">
        <v>152</v>
      </c>
      <c r="M77" s="28" t="str">
        <f>IFERROR(INDEX(#REF!,MATCH(L77,#REF!,0),4)&amp;" "&amp;INDEX(#REF!,MATCH(L77,#REF!,0),3),"")</f>
        <v/>
      </c>
      <c r="N77" s="28" t="str">
        <f>IFERROR(INDEX(#REF!,MATCH(L77,#REF!,0),4)&amp;" "&amp;INDEX(#REF!,MATCH(L77,#REF!,0),3),"")</f>
        <v/>
      </c>
      <c r="O77" s="28"/>
      <c r="P77" s="28" t="str">
        <f>IFERROR(INDEX(#REF!,MATCH(L77,#REF!,0),4)&amp;"  "&amp;INDEX(#REF!,MATCH(L77,#REF!,0),3),"")</f>
        <v/>
      </c>
      <c r="Q77" s="3"/>
      <c r="R77" s="4"/>
      <c r="S77" s="6"/>
    </row>
    <row r="78" spans="1:47" ht="24" customHeight="1" x14ac:dyDescent="0.25">
      <c r="A78" s="5"/>
      <c r="B78" s="1" t="s">
        <v>183</v>
      </c>
      <c r="C78" s="28" t="str">
        <f>IFERROR(INDEX('selected-lohe'!$A$3:$H$357,MATCH(B78,'selected-lohe'!$G$3:$G$355,0),4)&amp;" "&amp;INDEX('selected-lohe'!$A$3:$H$357,MATCH(B78,'selected-lohe'!$G$3:$G$355,0),3),"")</f>
        <v/>
      </c>
      <c r="D78" s="28" t="str">
        <f>IFERROR(INDEX(#REF!,MATCH(B78,#REF!,0),4)&amp;" "&amp;INDEX(#REF!,MATCH(B78,#REF!,0),3),"")</f>
        <v/>
      </c>
      <c r="E78" s="28"/>
      <c r="F78" s="28" t="str">
        <f>IFERROR(INDEX(#REF!,MATCH(B78,#REF!,0),4)&amp;" "&amp;INDEX(#REF!,MATCH(B78,#REF!,0),3),"")</f>
        <v/>
      </c>
      <c r="G78" s="3"/>
      <c r="H78" s="4"/>
      <c r="I78" s="6"/>
      <c r="K78" s="5"/>
      <c r="L78" s="1" t="s">
        <v>153</v>
      </c>
      <c r="M78" s="28" t="str">
        <f>IFERROR(INDEX(#REF!,MATCH(L78,#REF!,0),4)&amp;" "&amp;INDEX(#REF!,MATCH(L78,#REF!,0),3),"")</f>
        <v/>
      </c>
      <c r="N78" s="28" t="str">
        <f>IFERROR(INDEX(#REF!,MATCH(L78,#REF!,0),4)&amp;" "&amp;INDEX(#REF!,MATCH(L78,#REF!,0),3),"")</f>
        <v/>
      </c>
      <c r="O78" s="28"/>
      <c r="P78" s="28" t="str">
        <f>IFERROR(INDEX(#REF!,MATCH(L78,#REF!,0),4)&amp;"  "&amp;INDEX(#REF!,MATCH(L78,#REF!,0),3),"")</f>
        <v/>
      </c>
      <c r="Q78" s="3"/>
      <c r="R78" s="4"/>
      <c r="S78" s="6"/>
    </row>
    <row r="79" spans="1:47" ht="24" customHeight="1" x14ac:dyDescent="0.25">
      <c r="A79" s="5"/>
      <c r="B79" s="1" t="s">
        <v>184</v>
      </c>
      <c r="C79" s="28" t="str">
        <f>IFERROR(INDEX('selected-lohe'!$A$3:$H$357,MATCH(B79,'selected-lohe'!$G$3:$G$355,0),4)&amp;" "&amp;INDEX('selected-lohe'!$A$3:$H$357,MATCH(B79,'selected-lohe'!$G$3:$G$355,0),3),"")</f>
        <v/>
      </c>
      <c r="D79" s="28" t="str">
        <f>IFERROR(INDEX(#REF!,MATCH(B79,#REF!,0),4)&amp;" "&amp;INDEX(#REF!,MATCH(B79,#REF!,0),3),"")</f>
        <v/>
      </c>
      <c r="E79" s="28"/>
      <c r="F79" s="28" t="str">
        <f>IFERROR(INDEX(#REF!,MATCH(B79,#REF!,0),4)&amp;" "&amp;INDEX(#REF!,MATCH(B79,#REF!,0),3),"")</f>
        <v/>
      </c>
      <c r="G79" s="3"/>
      <c r="H79" s="4"/>
      <c r="I79" s="6"/>
      <c r="K79" s="5"/>
      <c r="L79" s="1" t="s">
        <v>154</v>
      </c>
      <c r="M79" s="28" t="str">
        <f>IFERROR(INDEX(#REF!,MATCH(L79,#REF!,0),4)&amp;" "&amp;INDEX(#REF!,MATCH(L79,#REF!,0),3),"")</f>
        <v/>
      </c>
      <c r="N79" s="28" t="str">
        <f>IFERROR(INDEX(#REF!,MATCH(L79,#REF!,0),4)&amp;" "&amp;INDEX(#REF!,MATCH(L79,#REF!,0),3),"")</f>
        <v/>
      </c>
      <c r="O79" s="28"/>
      <c r="P79" s="28" t="str">
        <f>IFERROR(INDEX(#REF!,MATCH(L79,#REF!,0),4)&amp;"  "&amp;INDEX(#REF!,MATCH(L79,#REF!,0),3),"")</f>
        <v/>
      </c>
      <c r="Q79" s="3"/>
      <c r="R79" s="4"/>
      <c r="S79" s="6"/>
    </row>
    <row r="80" spans="1:47" ht="24" customHeight="1" x14ac:dyDescent="0.25">
      <c r="A80" s="5"/>
      <c r="B80" s="1" t="s">
        <v>185</v>
      </c>
      <c r="C80" s="28" t="str">
        <f>IFERROR(INDEX('selected-lohe'!$A$3:$H$357,MATCH(B80,'selected-lohe'!$G$3:$G$355,0),4)&amp;" "&amp;INDEX('selected-lohe'!$A$3:$H$357,MATCH(B80,'selected-lohe'!$G$3:$G$355,0),3),"")</f>
        <v/>
      </c>
      <c r="D80" s="28" t="str">
        <f>IFERROR(INDEX(#REF!,MATCH(B80,#REF!,0),4)&amp;" "&amp;INDEX(#REF!,MATCH(B80,#REF!,0),3),"")</f>
        <v/>
      </c>
      <c r="E80" s="28"/>
      <c r="F80" s="28" t="str">
        <f>IFERROR(INDEX(#REF!,MATCH(B80,#REF!,0),4)&amp;" "&amp;INDEX(#REF!,MATCH(B80,#REF!,0),3),"")</f>
        <v/>
      </c>
      <c r="G80" s="3"/>
      <c r="H80" s="4"/>
      <c r="I80" s="6"/>
      <c r="K80" s="5"/>
      <c r="L80" s="1" t="s">
        <v>156</v>
      </c>
      <c r="M80" s="28" t="str">
        <f>IFERROR(INDEX(#REF!,MATCH(L80,#REF!,0),4)&amp;" "&amp;INDEX(#REF!,MATCH(L80,#REF!,0),3),"")</f>
        <v/>
      </c>
      <c r="N80" s="28" t="str">
        <f>IFERROR(INDEX(#REF!,MATCH(L80,#REF!,0),4)&amp;" "&amp;INDEX(#REF!,MATCH(L80,#REF!,0),3),"")</f>
        <v/>
      </c>
      <c r="O80" s="28"/>
      <c r="P80" s="28" t="str">
        <f>IFERROR(INDEX(#REF!,MATCH(L80,#REF!,0),4)&amp;"  "&amp;INDEX(#REF!,MATCH(L80,#REF!,0),3),"")</f>
        <v/>
      </c>
      <c r="Q80" s="3"/>
      <c r="R80" s="4"/>
      <c r="S80" s="6"/>
    </row>
    <row r="81" spans="1:19" ht="24" customHeight="1" x14ac:dyDescent="0.25">
      <c r="A81" s="5"/>
      <c r="B81" s="1" t="s">
        <v>186</v>
      </c>
      <c r="C81" s="28" t="str">
        <f>IFERROR(INDEX('selected-lohe'!$A$3:$H$357,MATCH(B81,'selected-lohe'!$G$3:$G$355,0),4)&amp;" "&amp;INDEX('selected-lohe'!$A$3:$H$357,MATCH(B81,'selected-lohe'!$G$3:$G$355,0),3),"")</f>
        <v/>
      </c>
      <c r="D81" s="28" t="str">
        <f>IFERROR(INDEX(#REF!,MATCH(B81,#REF!,0),4)&amp;" "&amp;INDEX(#REF!,MATCH(B81,#REF!,0),3),"")</f>
        <v/>
      </c>
      <c r="E81" s="28"/>
      <c r="F81" s="28" t="str">
        <f>IFERROR(INDEX(#REF!,MATCH(B81,#REF!,0),4)&amp;" "&amp;INDEX(#REF!,MATCH(B81,#REF!,0),3),"")</f>
        <v/>
      </c>
      <c r="G81" s="3"/>
      <c r="H81" s="4"/>
      <c r="I81" s="6"/>
      <c r="K81" s="5"/>
      <c r="L81" s="1" t="s">
        <v>157</v>
      </c>
      <c r="M81" s="28" t="str">
        <f>IFERROR(INDEX(#REF!,MATCH(L81,#REF!,0),4)&amp;" "&amp;INDEX(#REF!,MATCH(L81,#REF!,0),3),"")</f>
        <v/>
      </c>
      <c r="N81" s="28" t="str">
        <f>IFERROR(INDEX(#REF!,MATCH(L81,#REF!,0),4)&amp;" "&amp;INDEX(#REF!,MATCH(L81,#REF!,0),3),"")</f>
        <v/>
      </c>
      <c r="O81" s="28"/>
      <c r="P81" s="28" t="str">
        <f>IFERROR(INDEX(#REF!,MATCH(L81,#REF!,0),4)&amp;"  "&amp;INDEX(#REF!,MATCH(L81,#REF!,0),3),"")</f>
        <v/>
      </c>
      <c r="Q81" s="3"/>
      <c r="R81" s="4"/>
      <c r="S81" s="6"/>
    </row>
    <row r="82" spans="1:19" ht="24" customHeight="1" x14ac:dyDescent="0.25">
      <c r="A82" s="5"/>
      <c r="B82" s="1" t="s">
        <v>187</v>
      </c>
      <c r="C82" s="28" t="str">
        <f>IFERROR(INDEX('selected-lohe'!$A$3:$H$357,MATCH(B82,'selected-lohe'!$G$3:$G$355,0),4)&amp;" "&amp;INDEX('selected-lohe'!$A$3:$H$357,MATCH(B82,'selected-lohe'!$G$3:$G$355,0),3),"")</f>
        <v/>
      </c>
      <c r="D82" s="28" t="str">
        <f>IFERROR(INDEX(#REF!,MATCH(B82,#REF!,0),4)&amp;" "&amp;INDEX(#REF!,MATCH(B82,#REF!,0),3),"")</f>
        <v/>
      </c>
      <c r="E82" s="28"/>
      <c r="F82" s="28" t="str">
        <f>IFERROR(INDEX(#REF!,MATCH(B82,#REF!,0),4)&amp;" "&amp;INDEX(#REF!,MATCH(B82,#REF!,0),3),"")</f>
        <v/>
      </c>
      <c r="G82" s="3"/>
      <c r="H82" s="4"/>
      <c r="I82" s="6"/>
      <c r="K82" s="5"/>
      <c r="L82" s="1" t="s">
        <v>158</v>
      </c>
      <c r="M82" s="28" t="str">
        <f>IFERROR(INDEX(#REF!,MATCH(L82,#REF!,0),4)&amp;" "&amp;INDEX(#REF!,MATCH(L82,#REF!,0),3),"")</f>
        <v/>
      </c>
      <c r="N82" s="28" t="str">
        <f>IFERROR(INDEX(#REF!,MATCH(L82,#REF!,0),4)&amp;" "&amp;INDEX(#REF!,MATCH(L82,#REF!,0),3),"")</f>
        <v/>
      </c>
      <c r="O82" s="28"/>
      <c r="P82" s="28" t="str">
        <f>IFERROR(INDEX(#REF!,MATCH(L82,#REF!,0),4)&amp;"  "&amp;INDEX(#REF!,MATCH(L82,#REF!,0),3),"")</f>
        <v/>
      </c>
      <c r="Q82" s="3"/>
      <c r="R82" s="4"/>
      <c r="S82" s="6"/>
    </row>
    <row r="83" spans="1:19" ht="24" customHeight="1" x14ac:dyDescent="0.25">
      <c r="A83" s="5"/>
      <c r="B83" s="1" t="s">
        <v>188</v>
      </c>
      <c r="C83" s="28" t="str">
        <f>IFERROR(INDEX('selected-lohe'!$A$3:$H$357,MATCH(B83,'selected-lohe'!$G$3:$G$355,0),4)&amp;" "&amp;INDEX('selected-lohe'!$A$3:$H$357,MATCH(B83,'selected-lohe'!$G$3:$G$355,0),3),"")</f>
        <v/>
      </c>
      <c r="D83" s="28" t="str">
        <f>IFERROR(INDEX(#REF!,MATCH(B83,#REF!,0),4)&amp;" "&amp;INDEX(#REF!,MATCH(B83,#REF!,0),3),"")</f>
        <v/>
      </c>
      <c r="E83" s="28"/>
      <c r="F83" s="28" t="str">
        <f>IFERROR(INDEX(#REF!,MATCH(B83,#REF!,0),4)&amp;" "&amp;INDEX(#REF!,MATCH(B83,#REF!,0),3),"")</f>
        <v/>
      </c>
      <c r="G83" s="3"/>
      <c r="H83" s="4"/>
      <c r="I83" s="6"/>
      <c r="K83" s="5"/>
      <c r="L83" s="1" t="s">
        <v>159</v>
      </c>
      <c r="M83" s="28" t="str">
        <f>IFERROR(INDEX(#REF!,MATCH(L83,#REF!,0),4)&amp;" "&amp;INDEX(#REF!,MATCH(L83,#REF!,0),3),"")</f>
        <v/>
      </c>
      <c r="N83" s="28" t="str">
        <f>IFERROR(INDEX(#REF!,MATCH(L83,#REF!,0),4)&amp;" "&amp;INDEX(#REF!,MATCH(L83,#REF!,0),3),"")</f>
        <v/>
      </c>
      <c r="O83" s="28"/>
      <c r="P83" s="28" t="str">
        <f>IFERROR(INDEX(#REF!,MATCH(L83,#REF!,0),4)&amp;"  "&amp;INDEX(#REF!,MATCH(L83,#REF!,0),3),"")</f>
        <v/>
      </c>
      <c r="Q83" s="3"/>
      <c r="R83" s="4"/>
      <c r="S83" s="6"/>
    </row>
    <row r="84" spans="1:19" ht="24" customHeight="1" x14ac:dyDescent="0.25">
      <c r="A84" s="5"/>
      <c r="B84" s="1" t="s">
        <v>156</v>
      </c>
      <c r="C84" s="28" t="str">
        <f>IFERROR(INDEX('selected-lohe'!$A$3:$H$357,MATCH(B84,'selected-lohe'!$G$3:$G$355,0),4)&amp;" "&amp;INDEX('selected-lohe'!$A$3:$H$357,MATCH(B84,'selected-lohe'!$G$3:$G$355,0),3),"")</f>
        <v/>
      </c>
      <c r="D84" s="28" t="str">
        <f>IFERROR(INDEX(#REF!,MATCH(B84,#REF!,0),4)&amp;" "&amp;INDEX(#REF!,MATCH(B84,#REF!,0),3),"")</f>
        <v/>
      </c>
      <c r="E84" s="28"/>
      <c r="F84" s="28" t="str">
        <f>IFERROR(INDEX(#REF!,MATCH(B84,#REF!,0),4)&amp;" "&amp;INDEX(#REF!,MATCH(B84,#REF!,0),3),"")</f>
        <v/>
      </c>
      <c r="G84" s="3"/>
      <c r="H84" s="4"/>
      <c r="I84" s="6"/>
      <c r="K84" s="5"/>
      <c r="L84" s="1" t="s">
        <v>160</v>
      </c>
      <c r="M84" s="28" t="str">
        <f>IFERROR(INDEX(#REF!,MATCH(L84,#REF!,0),4)&amp;" "&amp;INDEX(#REF!,MATCH(L84,#REF!,0),3),"")</f>
        <v/>
      </c>
      <c r="N84" s="28" t="str">
        <f>IFERROR(INDEX(#REF!,MATCH(L84,#REF!,0),4)&amp;" "&amp;INDEX(#REF!,MATCH(L84,#REF!,0),3),"")</f>
        <v/>
      </c>
      <c r="O84" s="28"/>
      <c r="P84" s="28" t="str">
        <f>IFERROR(INDEX(#REF!,MATCH(L84,#REF!,0),4)&amp;"  "&amp;INDEX(#REF!,MATCH(L84,#REF!,0),3),"")</f>
        <v/>
      </c>
      <c r="Q84" s="3"/>
      <c r="R84" s="4"/>
      <c r="S84" s="6"/>
    </row>
    <row r="85" spans="1:19" ht="24" customHeight="1" x14ac:dyDescent="0.25">
      <c r="A85" s="5"/>
      <c r="B85" s="1" t="s">
        <v>189</v>
      </c>
      <c r="C85" s="28" t="str">
        <f>IFERROR(INDEX('selected-lohe'!$A$3:$H$357,MATCH(B85,'selected-lohe'!$G$3:$G$355,0),4)&amp;" "&amp;INDEX('selected-lohe'!$A$3:$H$357,MATCH(B85,'selected-lohe'!$G$3:$G$355,0),3),"")</f>
        <v/>
      </c>
      <c r="D85" s="28" t="str">
        <f>IFERROR(INDEX(#REF!,MATCH(B85,#REF!,0),4)&amp;" "&amp;INDEX(#REF!,MATCH(B85,#REF!,0),3),"")</f>
        <v/>
      </c>
      <c r="E85" s="28"/>
      <c r="F85" s="28" t="str">
        <f>IFERROR(INDEX(#REF!,MATCH(B85,#REF!,0),4)&amp;" "&amp;INDEX(#REF!,MATCH(B85,#REF!,0),3),"")</f>
        <v/>
      </c>
      <c r="G85" s="3"/>
      <c r="H85" s="4"/>
      <c r="I85" s="6"/>
      <c r="K85" s="5"/>
      <c r="L85" s="1" t="s">
        <v>161</v>
      </c>
      <c r="M85" s="28" t="str">
        <f>IFERROR(INDEX(#REF!,MATCH(L85,#REF!,0),4)&amp;" "&amp;INDEX(#REF!,MATCH(L85,#REF!,0),3),"")</f>
        <v/>
      </c>
      <c r="N85" s="28" t="str">
        <f>IFERROR(INDEX(#REF!,MATCH(L85,#REF!,0),4)&amp;" "&amp;INDEX(#REF!,MATCH(L85,#REF!,0),3),"")</f>
        <v/>
      </c>
      <c r="O85" s="28"/>
      <c r="P85" s="28" t="str">
        <f>IFERROR(INDEX(#REF!,MATCH(L85,#REF!,0),4)&amp;"  "&amp;INDEX(#REF!,MATCH(L85,#REF!,0),3),"")</f>
        <v/>
      </c>
      <c r="Q85" s="3"/>
      <c r="R85" s="4"/>
      <c r="S85" s="6"/>
    </row>
    <row r="86" spans="1:19" ht="24" customHeight="1" x14ac:dyDescent="0.25">
      <c r="A86" s="5"/>
      <c r="B86" s="1" t="s">
        <v>159</v>
      </c>
      <c r="C86" s="28" t="str">
        <f>IFERROR(INDEX('selected-lohe'!$A$3:$H$357,MATCH(B86,'selected-lohe'!$G$3:$G$355,0),4)&amp;" "&amp;INDEX('selected-lohe'!$A$3:$H$357,MATCH(B86,'selected-lohe'!$G$3:$G$355,0),3),"")</f>
        <v/>
      </c>
      <c r="D86" s="28" t="str">
        <f>IFERROR(INDEX(#REF!,MATCH(B86,#REF!,0),4)&amp;" "&amp;INDEX(#REF!,MATCH(B86,#REF!,0),3),"")</f>
        <v/>
      </c>
      <c r="E86" s="28"/>
      <c r="F86" s="28" t="str">
        <f>IFERROR(INDEX(#REF!,MATCH(B86,#REF!,0),4)&amp;" "&amp;INDEX(#REF!,MATCH(B86,#REF!,0),3),"")</f>
        <v/>
      </c>
      <c r="G86" s="3"/>
      <c r="H86" s="4"/>
      <c r="I86" s="6"/>
      <c r="K86" s="5"/>
      <c r="L86" s="1" t="s">
        <v>162</v>
      </c>
      <c r="M86" s="28" t="str">
        <f>IFERROR(INDEX(#REF!,MATCH(L86,#REF!,0),4)&amp;" "&amp;INDEX(#REF!,MATCH(L86,#REF!,0),3),"")</f>
        <v/>
      </c>
      <c r="N86" s="28" t="str">
        <f>IFERROR(INDEX(#REF!,MATCH(L86,#REF!,0),4)&amp;" "&amp;INDEX(#REF!,MATCH(L86,#REF!,0),3),"")</f>
        <v/>
      </c>
      <c r="O86" s="28"/>
      <c r="P86" s="28" t="str">
        <f>IFERROR(INDEX(#REF!,MATCH(L86,#REF!,0),4)&amp;"  "&amp;INDEX(#REF!,MATCH(L86,#REF!,0),3),"")</f>
        <v/>
      </c>
      <c r="Q86" s="3"/>
      <c r="R86" s="4"/>
      <c r="S86" s="6"/>
    </row>
    <row r="87" spans="1:19" ht="24" customHeight="1" x14ac:dyDescent="0.25">
      <c r="A87" s="5"/>
      <c r="B87" s="1" t="s">
        <v>190</v>
      </c>
      <c r="C87" s="28" t="str">
        <f>IFERROR(INDEX('selected-lohe'!$A$3:$H$357,MATCH(B87,'selected-lohe'!$G$3:$G$355,0),4)&amp;" "&amp;INDEX('selected-lohe'!$A$3:$H$357,MATCH(B87,'selected-lohe'!$G$3:$G$355,0),3),"")</f>
        <v/>
      </c>
      <c r="D87" s="28" t="str">
        <f>IFERROR(INDEX(#REF!,MATCH(B87,#REF!,0),4)&amp;" "&amp;INDEX(#REF!,MATCH(B87,#REF!,0),3),"")</f>
        <v/>
      </c>
      <c r="E87" s="28"/>
      <c r="F87" s="28" t="str">
        <f>IFERROR(INDEX(#REF!,MATCH(B87,#REF!,0),4)&amp;" "&amp;INDEX(#REF!,MATCH(B87,#REF!,0),3),"")</f>
        <v/>
      </c>
      <c r="G87" s="3"/>
      <c r="H87" s="4"/>
      <c r="I87" s="6"/>
      <c r="K87" s="5"/>
      <c r="L87" s="1" t="s">
        <v>163</v>
      </c>
      <c r="M87" s="28" t="str">
        <f>IFERROR(INDEX(#REF!,MATCH(L87,#REF!,0),4)&amp;" "&amp;INDEX(#REF!,MATCH(L87,#REF!,0),3),"")</f>
        <v/>
      </c>
      <c r="N87" s="28" t="str">
        <f>IFERROR(INDEX(#REF!,MATCH(L87,#REF!,0),4)&amp;" "&amp;INDEX(#REF!,MATCH(L87,#REF!,0),3),"")</f>
        <v/>
      </c>
      <c r="O87" s="28"/>
      <c r="P87" s="28" t="str">
        <f>IFERROR(INDEX(#REF!,MATCH(L87,#REF!,0),4)&amp;"  "&amp;INDEX(#REF!,MATCH(L87,#REF!,0),3),"")</f>
        <v/>
      </c>
      <c r="Q87" s="3"/>
      <c r="R87" s="4"/>
      <c r="S87" s="6"/>
    </row>
    <row r="88" spans="1:19" ht="24" customHeight="1" x14ac:dyDescent="0.25">
      <c r="A88" s="5"/>
      <c r="B88" s="1" t="s">
        <v>162</v>
      </c>
      <c r="C88" s="28" t="str">
        <f>IFERROR(INDEX('selected-lohe'!$A$3:$H$357,MATCH(B88,'selected-lohe'!$G$3:$G$355,0),4)&amp;" "&amp;INDEX('selected-lohe'!$A$3:$H$357,MATCH(B88,'selected-lohe'!$G$3:$G$355,0),3),"")</f>
        <v/>
      </c>
      <c r="D88" s="28" t="str">
        <f>IFERROR(INDEX(#REF!,MATCH(B88,#REF!,0),4)&amp;" "&amp;INDEX(#REF!,MATCH(B88,#REF!,0),3),"")</f>
        <v/>
      </c>
      <c r="E88" s="28"/>
      <c r="F88" s="28" t="str">
        <f>IFERROR(INDEX(#REF!,MATCH(B88,#REF!,0),4)&amp;" "&amp;INDEX(#REF!,MATCH(B88,#REF!,0),3),"")</f>
        <v/>
      </c>
      <c r="G88" s="3"/>
      <c r="H88" s="4"/>
      <c r="I88" s="6"/>
      <c r="K88" s="5"/>
      <c r="L88" s="1" t="s">
        <v>164</v>
      </c>
      <c r="M88" s="28" t="str">
        <f>IFERROR(INDEX(#REF!,MATCH(L88,#REF!,0),4)&amp;" "&amp;INDEX(#REF!,MATCH(L88,#REF!,0),3),"")</f>
        <v/>
      </c>
      <c r="N88" s="28" t="str">
        <f>IFERROR(INDEX(#REF!,MATCH(L88,#REF!,0),4)&amp;" "&amp;INDEX(#REF!,MATCH(L88,#REF!,0),3),"")</f>
        <v/>
      </c>
      <c r="O88" s="28"/>
      <c r="P88" s="28" t="str">
        <f>IFERROR(INDEX(#REF!,MATCH(L88,#REF!,0),4)&amp;"  "&amp;INDEX(#REF!,MATCH(L88,#REF!,0),3),"")</f>
        <v/>
      </c>
      <c r="Q88" s="3"/>
      <c r="R88" s="4"/>
      <c r="S88" s="6"/>
    </row>
    <row r="89" spans="1:19" ht="24" customHeight="1" x14ac:dyDescent="0.25">
      <c r="A89" s="5"/>
      <c r="B89" s="1" t="s">
        <v>191</v>
      </c>
      <c r="C89" s="28" t="str">
        <f>IFERROR(INDEX('selected-lohe'!$A$3:$H$357,MATCH(B89,'selected-lohe'!$G$3:$G$355,0),4)&amp;" "&amp;INDEX('selected-lohe'!$A$3:$H$357,MATCH(B89,'selected-lohe'!$G$3:$G$355,0),3),"")</f>
        <v/>
      </c>
      <c r="D89" s="28" t="str">
        <f>IFERROR(INDEX(#REF!,MATCH(B89,#REF!,0),4)&amp;" "&amp;INDEX(#REF!,MATCH(B89,#REF!,0),3),"")</f>
        <v/>
      </c>
      <c r="E89" s="28"/>
      <c r="F89" s="28" t="str">
        <f>IFERROR(INDEX(#REF!,MATCH(B89,#REF!,0),4)&amp;" "&amp;INDEX(#REF!,MATCH(B89,#REF!,0),3),"")</f>
        <v/>
      </c>
      <c r="G89" s="3"/>
      <c r="H89" s="4"/>
      <c r="I89" s="6"/>
      <c r="K89" s="5"/>
      <c r="L89" s="1" t="s">
        <v>165</v>
      </c>
      <c r="M89" s="28" t="str">
        <f>IFERROR(INDEX(#REF!,MATCH(L89,#REF!,0),4)&amp;" "&amp;INDEX(#REF!,MATCH(L89,#REF!,0),3),"")</f>
        <v/>
      </c>
      <c r="N89" s="28" t="str">
        <f>IFERROR(INDEX(#REF!,MATCH(L89,#REF!,0),4)&amp;" "&amp;INDEX(#REF!,MATCH(L89,#REF!,0),3),"")</f>
        <v/>
      </c>
      <c r="O89" s="28"/>
      <c r="P89" s="28" t="str">
        <f>IFERROR(INDEX(#REF!,MATCH(L89,#REF!,0),4)&amp;"  "&amp;INDEX(#REF!,MATCH(L89,#REF!,0),3),"")</f>
        <v/>
      </c>
      <c r="Q89" s="3"/>
      <c r="R89" s="4"/>
      <c r="S89" s="6"/>
    </row>
    <row r="90" spans="1:19" ht="24" customHeight="1" x14ac:dyDescent="0.25">
      <c r="A90" s="5"/>
      <c r="B90" s="1" t="s">
        <v>165</v>
      </c>
      <c r="C90" s="28" t="str">
        <f>IFERROR(INDEX('selected-lohe'!$A$3:$H$357,MATCH(B90,'selected-lohe'!$G$3:$G$355,0),4)&amp;" "&amp;INDEX('selected-lohe'!$A$3:$H$357,MATCH(B90,'selected-lohe'!$G$3:$G$355,0),3),"")</f>
        <v/>
      </c>
      <c r="D90" s="28" t="str">
        <f>IFERROR(INDEX(#REF!,MATCH(B90,#REF!,0),4)&amp;" "&amp;INDEX(#REF!,MATCH(B90,#REF!,0),3),"")</f>
        <v/>
      </c>
      <c r="E90" s="28"/>
      <c r="F90" s="28" t="str">
        <f>IFERROR(INDEX(#REF!,MATCH(B90,#REF!,0),4)&amp;" "&amp;INDEX(#REF!,MATCH(B90,#REF!,0),3),"")</f>
        <v/>
      </c>
      <c r="G90" s="3"/>
      <c r="H90" s="4"/>
      <c r="I90" s="6"/>
      <c r="K90" s="5"/>
      <c r="L90" s="1" t="s">
        <v>57</v>
      </c>
      <c r="M90" s="28" t="str">
        <f>IFERROR(INDEX(#REF!,MATCH(L90,#REF!,0),4)&amp;" "&amp;INDEX(#REF!,MATCH(L90,#REF!,0),3),"")</f>
        <v/>
      </c>
      <c r="N90" s="28" t="str">
        <f>IFERROR(INDEX(#REF!,MATCH(L90,#REF!,0),4)&amp;" "&amp;INDEX(#REF!,MATCH(L90,#REF!,0),3),"")</f>
        <v/>
      </c>
      <c r="O90" s="28"/>
      <c r="P90" s="28" t="str">
        <f>IFERROR(INDEX(#REF!,MATCH(L90,#REF!,0),4)&amp;"  "&amp;INDEX(#REF!,MATCH(L90,#REF!,0),3),"")</f>
        <v/>
      </c>
      <c r="Q90" s="3"/>
      <c r="R90" s="4"/>
      <c r="S90" s="6"/>
    </row>
    <row r="91" spans="1:19" ht="24" customHeight="1" x14ac:dyDescent="0.25">
      <c r="A91" s="5"/>
      <c r="B91" s="1" t="s">
        <v>208</v>
      </c>
      <c r="C91" s="28" t="str">
        <f>IFERROR(INDEX('selected-lohe'!$A$3:$H$357,MATCH(B91,'selected-lohe'!$G$3:$G$355,0),4)&amp;" "&amp;INDEX('selected-lohe'!$A$3:$H$357,MATCH(B91,'selected-lohe'!$G$3:$G$355,0),3),"")</f>
        <v/>
      </c>
      <c r="D91" s="28" t="str">
        <f>IFERROR(INDEX(#REF!,MATCH(B91,#REF!,0),4)&amp;" "&amp;INDEX(#REF!,MATCH(B91,#REF!,0),3),"")</f>
        <v/>
      </c>
      <c r="E91" s="28"/>
      <c r="F91" s="28" t="str">
        <f>IFERROR(INDEX(#REF!,MATCH(B91,#REF!,0),4)&amp;" "&amp;INDEX(#REF!,MATCH(B91,#REF!,0),3),"")</f>
        <v/>
      </c>
      <c r="G91" s="3"/>
      <c r="H91" s="4"/>
      <c r="I91" s="6"/>
      <c r="K91" s="5"/>
      <c r="L91" s="1" t="s">
        <v>166</v>
      </c>
      <c r="M91" s="28" t="str">
        <f>IFERROR(INDEX(#REF!,MATCH(L91,#REF!,0),4)&amp;" "&amp;INDEX(#REF!,MATCH(L91,#REF!,0),3),"")</f>
        <v/>
      </c>
      <c r="N91" s="28" t="str">
        <f>IFERROR(INDEX(#REF!,MATCH(L91,#REF!,0),4)&amp;" "&amp;INDEX(#REF!,MATCH(L91,#REF!,0),3),"")</f>
        <v/>
      </c>
      <c r="O91" s="28"/>
      <c r="P91" s="28" t="str">
        <f>IFERROR(INDEX(#REF!,MATCH(L91,#REF!,0),4)&amp;"  "&amp;INDEX(#REF!,MATCH(L91,#REF!,0),3),"")</f>
        <v/>
      </c>
      <c r="Q91" s="3"/>
      <c r="R91" s="4"/>
      <c r="S91" s="6"/>
    </row>
    <row r="92" spans="1:19" ht="24" customHeight="1" x14ac:dyDescent="0.25">
      <c r="A92" s="5"/>
      <c r="B92" s="1" t="s">
        <v>209</v>
      </c>
      <c r="C92" s="28" t="str">
        <f>IFERROR(INDEX('selected-lohe'!$A$3:$H$357,MATCH(B92,'selected-lohe'!$G$3:$G$355,0),4)&amp;" "&amp;INDEX('selected-lohe'!$A$3:$H$357,MATCH(B92,'selected-lohe'!$G$3:$G$355,0),3),"")</f>
        <v/>
      </c>
      <c r="D92" s="28" t="str">
        <f>IFERROR(INDEX(#REF!,MATCH(B92,#REF!,0),4)&amp;" "&amp;INDEX(#REF!,MATCH(B92,#REF!,0),3),"")</f>
        <v/>
      </c>
      <c r="E92" s="28"/>
      <c r="F92" s="28" t="str">
        <f>IFERROR(INDEX(#REF!,MATCH(B92,#REF!,0),4)&amp;" "&amp;INDEX(#REF!,MATCH(B92,#REF!,0),3),"")</f>
        <v/>
      </c>
      <c r="G92" s="3"/>
      <c r="H92" s="4"/>
      <c r="I92" s="6"/>
      <c r="K92" s="5"/>
      <c r="L92" s="1" t="s">
        <v>192</v>
      </c>
      <c r="M92" s="28" t="str">
        <f>IFERROR(INDEX(#REF!,MATCH(L92,#REF!,0),4)&amp;" "&amp;INDEX(#REF!,MATCH(L92,#REF!,0),3),"")</f>
        <v/>
      </c>
      <c r="N92" s="28" t="str">
        <f>IFERROR(INDEX(#REF!,MATCH(L92,#REF!,0),4)&amp;" "&amp;INDEX(#REF!,MATCH(L92,#REF!,0),3),"")</f>
        <v/>
      </c>
      <c r="O92" s="28"/>
      <c r="P92" s="28" t="str">
        <f>IFERROR(INDEX(#REF!,MATCH(L92,#REF!,0),4)&amp;"  "&amp;INDEX(#REF!,MATCH(L92,#REF!,0),3),"")</f>
        <v/>
      </c>
      <c r="Q92" s="3"/>
      <c r="R92" s="4"/>
      <c r="S92" s="6"/>
    </row>
    <row r="93" spans="1:19" ht="24" customHeight="1" x14ac:dyDescent="0.25">
      <c r="A93" s="5"/>
      <c r="B93" s="1" t="s">
        <v>167</v>
      </c>
      <c r="C93" s="28" t="str">
        <f>IFERROR(INDEX('selected-lohe'!$A$3:$H$357,MATCH(B93,'selected-lohe'!$G$3:$G$355,0),4)&amp;" "&amp;INDEX('selected-lohe'!$A$3:$H$357,MATCH(B93,'selected-lohe'!$G$3:$G$355,0),3),"")</f>
        <v/>
      </c>
      <c r="D93" s="28" t="str">
        <f>IFERROR(INDEX(#REF!,MATCH(B93,#REF!,0),4)&amp;" "&amp;INDEX(#REF!,MATCH(B93,#REF!,0),3),"")</f>
        <v/>
      </c>
      <c r="E93" s="28"/>
      <c r="F93" s="28" t="str">
        <f>IFERROR(INDEX(#REF!,MATCH(B93,#REF!,0),4)&amp;" "&amp;INDEX(#REF!,MATCH(B93,#REF!,0),3),"")</f>
        <v/>
      </c>
      <c r="G93" s="3"/>
      <c r="H93" s="4"/>
      <c r="I93" s="6"/>
      <c r="K93" s="5"/>
      <c r="L93" s="1" t="s">
        <v>193</v>
      </c>
      <c r="M93" s="28" t="str">
        <f>IFERROR(INDEX(#REF!,MATCH(L93,#REF!,0),4)&amp;" "&amp;INDEX(#REF!,MATCH(L93,#REF!,0),3),"")</f>
        <v/>
      </c>
      <c r="N93" s="28" t="str">
        <f>IFERROR(INDEX(#REF!,MATCH(L93,#REF!,0),4)&amp;" "&amp;INDEX(#REF!,MATCH(L93,#REF!,0),3),"")</f>
        <v/>
      </c>
      <c r="O93" s="28"/>
      <c r="P93" s="28" t="str">
        <f>IFERROR(INDEX(#REF!,MATCH(L93,#REF!,0),4)&amp;"  "&amp;INDEX(#REF!,MATCH(L93,#REF!,0),3),"")</f>
        <v/>
      </c>
      <c r="Q93" s="3"/>
      <c r="R93" s="4"/>
      <c r="S93" s="6"/>
    </row>
    <row r="94" spans="1:19" ht="24" customHeight="1" x14ac:dyDescent="0.25">
      <c r="A94" s="42"/>
      <c r="B94" s="1" t="s">
        <v>194</v>
      </c>
      <c r="C94" s="43" t="str">
        <f>IFERROR(INDEX('selected-lohe'!$A$3:$H$357,MATCH(B94,'selected-lohe'!$G$3:$G$355,0),4)&amp;" "&amp;INDEX('selected-lohe'!$A$3:$H$357,MATCH(B94,'selected-lohe'!$G$3:$G$355,0),3),"")</f>
        <v/>
      </c>
      <c r="D94" s="43" t="str">
        <f>IFERROR(INDEX(#REF!,MATCH(B94,#REF!,0),4)&amp;" "&amp;INDEX(#REF!,MATCH(B94,#REF!,0),3),"")</f>
        <v/>
      </c>
      <c r="E94" s="43"/>
      <c r="F94" s="43" t="str">
        <f>IFERROR(INDEX(#REF!,MATCH(B94,#REF!,0),4)&amp;" "&amp;INDEX(#REF!,MATCH(B94,#REF!,0),3),"")</f>
        <v/>
      </c>
      <c r="G94" s="44"/>
      <c r="H94" s="45"/>
      <c r="I94" s="46"/>
      <c r="K94" s="42"/>
      <c r="L94" s="1" t="s">
        <v>194</v>
      </c>
      <c r="M94" s="43" t="str">
        <f>IFERROR(INDEX(#REF!,MATCH(L94,#REF!,0),4)&amp;" "&amp;INDEX(#REF!,MATCH(L94,#REF!,0),3),"")</f>
        <v/>
      </c>
      <c r="N94" s="43" t="str">
        <f>IFERROR(INDEX(#REF!,MATCH(L94,#REF!,0),4)&amp;" "&amp;INDEX(#REF!,MATCH(L94,#REF!,0),3),"")</f>
        <v/>
      </c>
      <c r="O94" s="43"/>
      <c r="P94" s="43" t="str">
        <f>IFERROR(INDEX(#REF!,MATCH(L94,#REF!,0),4)&amp;"  "&amp;INDEX(#REF!,MATCH(L94,#REF!,0),3),"")</f>
        <v/>
      </c>
      <c r="Q94" s="44"/>
      <c r="R94" s="45"/>
      <c r="S94" s="46"/>
    </row>
    <row r="95" spans="1:19" ht="24" customHeight="1" thickBot="1" x14ac:dyDescent="0.3">
      <c r="A95" s="7"/>
      <c r="B95" s="47" t="s">
        <v>169</v>
      </c>
      <c r="C95" s="35" t="str">
        <f>IFERROR(INDEX('selected-lohe'!$A$3:$H$357,MATCH(B95,'selected-lohe'!$G$3:$G$355,0),4)&amp;" "&amp;INDEX('selected-lohe'!$A$3:$H$357,MATCH(B95,'selected-lohe'!$G$3:$G$355,0),3),"")</f>
        <v/>
      </c>
      <c r="D95" s="35" t="str">
        <f>IFERROR(INDEX(#REF!,MATCH(B95,#REF!,0),4)&amp;" "&amp;INDEX(#REF!,MATCH(B95,#REF!,0),3),"")</f>
        <v/>
      </c>
      <c r="E95" s="35"/>
      <c r="F95" s="35" t="str">
        <f>IFERROR(INDEX(#REF!,MATCH(B95,#REF!,0),4)&amp;" "&amp;INDEX(#REF!,MATCH(B95,#REF!,0),3),"")</f>
        <v/>
      </c>
      <c r="G95" s="8"/>
      <c r="H95" s="9"/>
      <c r="I95" s="21"/>
      <c r="J95" s="47"/>
      <c r="K95" s="7"/>
      <c r="L95" s="47" t="s">
        <v>169</v>
      </c>
      <c r="M95" s="35" t="str">
        <f>IFERROR(INDEX(#REF!,MATCH(L95,#REF!,0),4)&amp;" "&amp;INDEX(#REF!,MATCH(L95,#REF!,0),3),"")</f>
        <v/>
      </c>
      <c r="N95" s="35" t="str">
        <f>IFERROR(INDEX(#REF!,MATCH(L95,#REF!,0),4)&amp;" "&amp;INDEX(#REF!,MATCH(L95,#REF!,0),3),"")</f>
        <v/>
      </c>
      <c r="O95" s="35"/>
      <c r="P95" s="35" t="str">
        <f>IFERROR(INDEX(#REF!,MATCH(L95,#REF!,0),4)&amp;"  "&amp;INDEX(#REF!,MATCH(L95,#REF!,0),3),"")</f>
        <v/>
      </c>
      <c r="Q95" s="8"/>
      <c r="R95" s="9"/>
      <c r="S95" s="21"/>
    </row>
  </sheetData>
  <mergeCells count="8">
    <mergeCell ref="Q2:S2"/>
    <mergeCell ref="Q35:S35"/>
    <mergeCell ref="Q68:S68"/>
    <mergeCell ref="D2:F2"/>
    <mergeCell ref="L2:M2"/>
    <mergeCell ref="G2:I2"/>
    <mergeCell ref="G35:I35"/>
    <mergeCell ref="G68:I68"/>
  </mergeCells>
  <pageMargins left="0" right="0.43307086614173229" top="0.55118110236220474" bottom="0.55118110236220474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T350"/>
  <sheetViews>
    <sheetView rightToLeft="1" workbookViewId="0">
      <selection sqref="A1:H400"/>
    </sheetView>
  </sheetViews>
  <sheetFormatPr defaultRowHeight="15" x14ac:dyDescent="0.25"/>
  <cols>
    <col min="1" max="1" width="10.7109375" style="186" bestFit="1" customWidth="1"/>
    <col min="2" max="2" width="7.42578125" style="186" bestFit="1" customWidth="1"/>
    <col min="3" max="3" width="9.140625" style="186" bestFit="1" customWidth="1"/>
    <col min="4" max="4" width="18.42578125" style="186" bestFit="1" customWidth="1"/>
    <col min="5" max="6" width="10.5703125" style="186" bestFit="1" customWidth="1"/>
    <col min="7" max="7" width="7.85546875" style="186" bestFit="1" customWidth="1"/>
    <col min="8" max="8" width="9.140625" style="186" bestFit="1" customWidth="1"/>
    <col min="9" max="9" width="7.85546875" style="186" bestFit="1" customWidth="1"/>
    <col min="10" max="10" width="9.140625" style="186" bestFit="1" customWidth="1"/>
    <col min="11" max="11" width="9.140625" style="163"/>
  </cols>
  <sheetData>
    <row r="1" spans="1:20" x14ac:dyDescent="0.25">
      <c r="K1" s="10"/>
      <c r="L1" s="10"/>
      <c r="M1" s="11"/>
      <c r="T1" t="s">
        <v>1620</v>
      </c>
    </row>
    <row r="2" spans="1:20" x14ac:dyDescent="0.25">
      <c r="A2" s="192"/>
      <c r="C2" s="193"/>
      <c r="H2" s="194"/>
      <c r="J2" s="189"/>
      <c r="K2" s="185"/>
      <c r="L2" s="185"/>
      <c r="M2" s="10"/>
    </row>
    <row r="3" spans="1:20" x14ac:dyDescent="0.25">
      <c r="A3" s="192"/>
      <c r="C3" s="193"/>
      <c r="K3"/>
      <c r="T3">
        <v>4</v>
      </c>
    </row>
    <row r="4" spans="1:20" x14ac:dyDescent="0.25">
      <c r="K4"/>
      <c r="T4">
        <v>28</v>
      </c>
    </row>
    <row r="5" spans="1:20" x14ac:dyDescent="0.25">
      <c r="A5" s="193"/>
      <c r="B5" s="193"/>
      <c r="C5" s="193"/>
      <c r="D5" s="193"/>
      <c r="E5" s="193"/>
      <c r="F5" s="193"/>
      <c r="G5" s="193"/>
      <c r="H5" s="193"/>
      <c r="I5" s="188"/>
      <c r="J5" s="188"/>
      <c r="K5"/>
      <c r="T5">
        <v>40</v>
      </c>
    </row>
    <row r="6" spans="1:20" x14ac:dyDescent="0.25">
      <c r="A6" s="192"/>
      <c r="B6" s="195"/>
      <c r="C6" s="192"/>
      <c r="D6" s="192"/>
      <c r="E6" s="192"/>
      <c r="F6" s="192"/>
      <c r="G6" s="192"/>
      <c r="H6" s="192"/>
      <c r="I6" s="187"/>
      <c r="J6" s="187"/>
      <c r="K6"/>
      <c r="T6">
        <v>12</v>
      </c>
    </row>
    <row r="7" spans="1:20" x14ac:dyDescent="0.25">
      <c r="A7" s="192"/>
      <c r="B7" s="195"/>
      <c r="C7" s="192"/>
      <c r="D7" s="192"/>
      <c r="E7" s="192"/>
      <c r="F7" s="192"/>
      <c r="G7" s="192"/>
      <c r="H7" s="192"/>
      <c r="I7" s="187"/>
      <c r="J7" s="187"/>
      <c r="K7"/>
      <c r="T7" t="s">
        <v>1621</v>
      </c>
    </row>
    <row r="8" spans="1:20" x14ac:dyDescent="0.25">
      <c r="A8" s="192"/>
      <c r="B8" s="195"/>
      <c r="C8" s="192"/>
      <c r="D8" s="192"/>
      <c r="E8" s="192"/>
      <c r="F8" s="192"/>
      <c r="G8" s="192"/>
      <c r="H8" s="192"/>
      <c r="I8" s="187"/>
      <c r="J8" s="187"/>
      <c r="K8"/>
    </row>
    <row r="9" spans="1:20" x14ac:dyDescent="0.25">
      <c r="A9" s="192"/>
      <c r="B9" s="195"/>
      <c r="C9" s="192"/>
      <c r="D9" s="192"/>
      <c r="E9" s="192"/>
      <c r="F9" s="192"/>
      <c r="G9" s="192"/>
      <c r="H9" s="192"/>
      <c r="I9" s="187"/>
      <c r="J9" s="187"/>
      <c r="K9"/>
    </row>
    <row r="10" spans="1:20" x14ac:dyDescent="0.25">
      <c r="A10" s="192"/>
      <c r="B10" s="195"/>
      <c r="C10" s="192"/>
      <c r="D10" s="192"/>
      <c r="E10" s="192"/>
      <c r="F10" s="192"/>
      <c r="G10" s="192"/>
      <c r="H10" s="192"/>
      <c r="I10" s="187"/>
      <c r="J10" s="187"/>
      <c r="K10"/>
    </row>
    <row r="11" spans="1:20" x14ac:dyDescent="0.25">
      <c r="A11" s="192"/>
      <c r="B11" s="195"/>
      <c r="C11" s="192"/>
      <c r="D11" s="192"/>
      <c r="E11" s="192"/>
      <c r="F11" s="192"/>
      <c r="G11" s="192"/>
      <c r="H11" s="192"/>
      <c r="I11" s="187"/>
      <c r="J11" s="187"/>
      <c r="K11"/>
    </row>
    <row r="12" spans="1:20" x14ac:dyDescent="0.25">
      <c r="A12" s="192"/>
      <c r="B12" s="195"/>
      <c r="C12" s="192"/>
      <c r="D12" s="192"/>
      <c r="E12" s="192"/>
      <c r="F12" s="192"/>
      <c r="G12" s="192"/>
      <c r="H12" s="192"/>
      <c r="I12" s="187"/>
      <c r="J12" s="187"/>
      <c r="K12"/>
    </row>
    <row r="13" spans="1:20" x14ac:dyDescent="0.25">
      <c r="A13" s="192"/>
      <c r="B13" s="195"/>
      <c r="C13" s="192"/>
      <c r="D13" s="192"/>
      <c r="E13" s="192"/>
      <c r="F13" s="192"/>
      <c r="G13" s="192"/>
      <c r="H13" s="192"/>
      <c r="I13" s="187"/>
      <c r="J13" s="187"/>
      <c r="K13"/>
    </row>
    <row r="14" spans="1:20" x14ac:dyDescent="0.25">
      <c r="A14" s="192"/>
      <c r="B14" s="195"/>
      <c r="C14" s="192"/>
      <c r="D14" s="192"/>
      <c r="E14" s="192"/>
      <c r="F14" s="192"/>
      <c r="G14" s="192"/>
      <c r="H14" s="192"/>
      <c r="I14" s="187"/>
      <c r="J14" s="187"/>
      <c r="K14"/>
    </row>
    <row r="15" spans="1:20" x14ac:dyDescent="0.25">
      <c r="A15" s="192"/>
      <c r="B15" s="195"/>
      <c r="C15" s="192"/>
      <c r="D15" s="192"/>
      <c r="E15" s="192"/>
      <c r="F15" s="192"/>
      <c r="G15" s="192"/>
      <c r="H15" s="192"/>
      <c r="I15" s="187"/>
      <c r="J15" s="187"/>
      <c r="K15" s="94"/>
      <c r="N15" s="94"/>
    </row>
    <row r="16" spans="1:20" x14ac:dyDescent="0.25">
      <c r="A16" s="192"/>
      <c r="B16" s="195"/>
      <c r="C16" s="192"/>
      <c r="D16" s="192"/>
      <c r="E16" s="192"/>
      <c r="F16" s="192"/>
      <c r="G16" s="192"/>
      <c r="H16" s="192"/>
      <c r="I16" s="187"/>
      <c r="J16" s="187"/>
      <c r="K16" s="94"/>
      <c r="N16" s="94"/>
    </row>
    <row r="17" spans="1:14" x14ac:dyDescent="0.25">
      <c r="A17" s="192"/>
      <c r="B17" s="195"/>
      <c r="C17" s="192"/>
      <c r="D17" s="192"/>
      <c r="E17" s="192"/>
      <c r="F17" s="192"/>
      <c r="G17" s="192"/>
      <c r="H17" s="192"/>
      <c r="I17" s="187"/>
      <c r="J17" s="187"/>
      <c r="K17" s="94"/>
      <c r="N17" s="94"/>
    </row>
    <row r="18" spans="1:14" x14ac:dyDescent="0.25">
      <c r="A18" s="192"/>
      <c r="B18" s="195"/>
      <c r="C18" s="192"/>
      <c r="D18" s="192"/>
      <c r="E18" s="192"/>
      <c r="F18" s="192"/>
      <c r="G18" s="192"/>
      <c r="H18" s="192"/>
      <c r="I18" s="187"/>
      <c r="J18" s="187"/>
      <c r="K18"/>
    </row>
    <row r="19" spans="1:14" x14ac:dyDescent="0.25">
      <c r="A19" s="192"/>
      <c r="B19" s="195"/>
      <c r="C19" s="192"/>
      <c r="D19" s="192"/>
      <c r="E19" s="192"/>
      <c r="F19" s="192"/>
      <c r="G19" s="192"/>
      <c r="H19" s="192"/>
      <c r="I19" s="187"/>
      <c r="J19" s="187"/>
      <c r="K19"/>
    </row>
    <row r="20" spans="1:14" x14ac:dyDescent="0.25">
      <c r="A20" s="192"/>
      <c r="B20" s="195"/>
      <c r="C20" s="192"/>
      <c r="D20" s="192"/>
      <c r="E20" s="192"/>
      <c r="F20" s="192"/>
      <c r="G20" s="192"/>
      <c r="H20" s="192"/>
      <c r="I20" s="187"/>
      <c r="J20" s="187"/>
      <c r="K20"/>
    </row>
    <row r="21" spans="1:14" x14ac:dyDescent="0.25">
      <c r="A21" s="192"/>
      <c r="B21" s="195"/>
      <c r="C21" s="192"/>
      <c r="D21" s="192"/>
      <c r="E21" s="192"/>
      <c r="F21" s="192"/>
      <c r="G21" s="192"/>
      <c r="H21" s="192"/>
      <c r="I21" s="187"/>
      <c r="J21" s="187"/>
      <c r="K21"/>
    </row>
    <row r="22" spans="1:14" x14ac:dyDescent="0.25">
      <c r="A22" s="192"/>
      <c r="B22" s="195"/>
      <c r="C22" s="192"/>
      <c r="D22" s="192"/>
      <c r="E22" s="192"/>
      <c r="F22" s="192"/>
      <c r="G22" s="192"/>
      <c r="H22" s="192"/>
      <c r="I22" s="187"/>
      <c r="J22" s="187"/>
      <c r="K22"/>
    </row>
    <row r="23" spans="1:14" x14ac:dyDescent="0.25">
      <c r="A23" s="192"/>
      <c r="B23" s="195"/>
      <c r="C23" s="192"/>
      <c r="D23" s="192"/>
      <c r="E23" s="192"/>
      <c r="F23" s="192"/>
      <c r="G23" s="192"/>
      <c r="H23" s="192"/>
      <c r="I23" s="187"/>
      <c r="J23" s="187"/>
      <c r="K23"/>
    </row>
    <row r="24" spans="1:14" x14ac:dyDescent="0.25">
      <c r="A24" s="192"/>
      <c r="B24" s="195"/>
      <c r="C24" s="192"/>
      <c r="D24" s="192"/>
      <c r="E24" s="192"/>
      <c r="F24" s="192"/>
      <c r="G24" s="192"/>
      <c r="H24" s="192"/>
      <c r="I24" s="187"/>
      <c r="J24" s="187"/>
      <c r="K24"/>
    </row>
    <row r="25" spans="1:14" x14ac:dyDescent="0.25">
      <c r="A25" s="192"/>
      <c r="B25" s="195"/>
      <c r="C25" s="192"/>
      <c r="D25" s="192"/>
      <c r="E25" s="192"/>
      <c r="F25" s="192"/>
      <c r="G25" s="192"/>
      <c r="H25" s="192"/>
      <c r="I25" s="187"/>
      <c r="J25" s="187"/>
      <c r="K25"/>
    </row>
    <row r="26" spans="1:14" x14ac:dyDescent="0.25">
      <c r="A26" s="192"/>
      <c r="B26" s="195"/>
      <c r="C26" s="192"/>
      <c r="D26" s="192"/>
      <c r="E26" s="192"/>
      <c r="F26" s="192"/>
      <c r="G26" s="192"/>
      <c r="H26" s="192"/>
      <c r="I26" s="187"/>
      <c r="J26" s="187"/>
      <c r="K26"/>
    </row>
    <row r="27" spans="1:14" x14ac:dyDescent="0.25">
      <c r="A27" s="192"/>
      <c r="B27" s="195"/>
      <c r="C27" s="192"/>
      <c r="D27" s="192"/>
      <c r="E27" s="192"/>
      <c r="F27" s="192"/>
      <c r="G27" s="192"/>
      <c r="H27" s="192"/>
      <c r="I27" s="187"/>
      <c r="J27" s="187"/>
      <c r="K27"/>
    </row>
    <row r="28" spans="1:14" x14ac:dyDescent="0.25">
      <c r="A28" s="192"/>
      <c r="B28" s="195"/>
      <c r="C28" s="192"/>
      <c r="D28" s="192"/>
      <c r="E28" s="192"/>
      <c r="F28" s="192"/>
      <c r="G28" s="192"/>
      <c r="H28" s="192"/>
      <c r="I28" s="187"/>
      <c r="J28" s="187"/>
      <c r="K28"/>
    </row>
    <row r="29" spans="1:14" x14ac:dyDescent="0.25">
      <c r="A29" s="192"/>
      <c r="B29" s="195"/>
      <c r="C29" s="192"/>
      <c r="D29" s="192"/>
      <c r="E29" s="192"/>
      <c r="F29" s="192"/>
      <c r="G29" s="192"/>
      <c r="H29" s="192"/>
      <c r="I29" s="187"/>
      <c r="J29" s="187"/>
      <c r="K29"/>
    </row>
    <row r="30" spans="1:14" x14ac:dyDescent="0.25">
      <c r="A30" s="192"/>
      <c r="B30" s="195"/>
      <c r="C30" s="192"/>
      <c r="D30" s="192"/>
      <c r="E30" s="192"/>
      <c r="F30" s="192"/>
      <c r="G30" s="192"/>
      <c r="H30" s="192"/>
      <c r="I30" s="187"/>
      <c r="J30" s="187"/>
      <c r="K30"/>
    </row>
    <row r="31" spans="1:14" x14ac:dyDescent="0.25">
      <c r="A31" s="192"/>
      <c r="B31" s="195"/>
      <c r="C31" s="192"/>
      <c r="D31" s="192"/>
      <c r="E31" s="192"/>
      <c r="F31" s="192"/>
      <c r="G31" s="192"/>
      <c r="H31" s="192"/>
      <c r="I31" s="187"/>
      <c r="J31" s="187"/>
      <c r="K31"/>
    </row>
    <row r="32" spans="1:14" x14ac:dyDescent="0.25">
      <c r="A32" s="192"/>
      <c r="B32" s="195"/>
      <c r="C32" s="192"/>
      <c r="D32" s="192"/>
      <c r="E32" s="192"/>
      <c r="F32" s="192"/>
      <c r="G32" s="192"/>
      <c r="H32" s="192"/>
      <c r="I32" s="187"/>
      <c r="J32" s="187"/>
      <c r="K32"/>
    </row>
    <row r="33" spans="1:14" x14ac:dyDescent="0.25">
      <c r="A33" s="192"/>
      <c r="B33" s="195"/>
      <c r="C33" s="192"/>
      <c r="D33" s="192"/>
      <c r="E33" s="192"/>
      <c r="F33" s="192"/>
      <c r="G33" s="192"/>
      <c r="H33" s="192"/>
      <c r="I33" s="187"/>
      <c r="J33" s="187"/>
      <c r="K33"/>
    </row>
    <row r="34" spans="1:14" x14ac:dyDescent="0.25">
      <c r="A34" s="192"/>
      <c r="B34" s="195"/>
      <c r="C34" s="192"/>
      <c r="D34" s="192"/>
      <c r="E34" s="192"/>
      <c r="F34" s="192"/>
      <c r="G34" s="192"/>
      <c r="H34" s="192"/>
      <c r="I34" s="187"/>
      <c r="J34" s="187"/>
      <c r="K34"/>
    </row>
    <row r="35" spans="1:14" x14ac:dyDescent="0.25">
      <c r="A35" s="192"/>
      <c r="B35" s="195"/>
      <c r="C35" s="192"/>
      <c r="D35" s="192"/>
      <c r="E35" s="192"/>
      <c r="F35" s="192"/>
      <c r="G35" s="192"/>
      <c r="H35" s="192"/>
      <c r="I35" s="187"/>
      <c r="J35" s="187"/>
      <c r="K35"/>
    </row>
    <row r="36" spans="1:14" x14ac:dyDescent="0.25">
      <c r="A36" s="192"/>
      <c r="B36" s="195"/>
      <c r="C36" s="192"/>
      <c r="D36" s="192"/>
      <c r="E36" s="192"/>
      <c r="F36" s="192"/>
      <c r="G36" s="192"/>
      <c r="H36" s="192"/>
      <c r="I36" s="187"/>
      <c r="J36" s="187"/>
      <c r="K36" s="94"/>
      <c r="N36" s="94"/>
    </row>
    <row r="37" spans="1:14" x14ac:dyDescent="0.25">
      <c r="A37" s="192"/>
      <c r="B37" s="195"/>
      <c r="C37" s="192"/>
      <c r="D37" s="192"/>
      <c r="E37" s="192"/>
      <c r="F37" s="192"/>
      <c r="G37" s="192"/>
      <c r="H37" s="192"/>
      <c r="I37" s="187"/>
      <c r="J37" s="187"/>
      <c r="K37"/>
    </row>
    <row r="38" spans="1:14" x14ac:dyDescent="0.25">
      <c r="A38" s="192"/>
      <c r="B38" s="195"/>
      <c r="C38" s="192"/>
      <c r="D38" s="192"/>
      <c r="E38" s="192"/>
      <c r="F38" s="192"/>
      <c r="G38" s="192"/>
      <c r="H38" s="192"/>
      <c r="I38" s="187"/>
      <c r="J38" s="187"/>
      <c r="K38"/>
    </row>
    <row r="39" spans="1:14" x14ac:dyDescent="0.25">
      <c r="A39" s="192"/>
      <c r="B39" s="195"/>
      <c r="C39" s="192"/>
      <c r="D39" s="192"/>
      <c r="E39" s="192"/>
      <c r="F39" s="192"/>
      <c r="G39" s="192"/>
      <c r="H39" s="192"/>
      <c r="I39" s="187"/>
      <c r="J39" s="187"/>
      <c r="K39"/>
    </row>
    <row r="40" spans="1:14" x14ac:dyDescent="0.25">
      <c r="A40" s="192"/>
      <c r="B40" s="195"/>
      <c r="C40" s="192"/>
      <c r="D40" s="192"/>
      <c r="E40" s="192"/>
      <c r="F40" s="192"/>
      <c r="G40" s="192"/>
      <c r="H40" s="192"/>
      <c r="I40" s="187"/>
      <c r="J40" s="187"/>
      <c r="K40"/>
    </row>
    <row r="41" spans="1:14" x14ac:dyDescent="0.25">
      <c r="A41" s="192"/>
      <c r="B41" s="195"/>
      <c r="C41" s="192"/>
      <c r="D41" s="192"/>
      <c r="E41" s="192"/>
      <c r="F41" s="192"/>
      <c r="G41" s="192"/>
      <c r="H41" s="192"/>
      <c r="I41" s="187"/>
      <c r="J41" s="187"/>
      <c r="K41"/>
    </row>
    <row r="42" spans="1:14" x14ac:dyDescent="0.25">
      <c r="A42" s="192"/>
      <c r="B42" s="195"/>
      <c r="C42" s="192"/>
      <c r="D42" s="192"/>
      <c r="E42" s="192"/>
      <c r="F42" s="192"/>
      <c r="G42" s="192"/>
      <c r="H42" s="192"/>
      <c r="I42" s="187"/>
      <c r="J42" s="187"/>
      <c r="K42"/>
    </row>
    <row r="43" spans="1:14" x14ac:dyDescent="0.25">
      <c r="A43" s="192"/>
      <c r="B43" s="195"/>
      <c r="C43" s="192"/>
      <c r="D43" s="192"/>
      <c r="E43" s="192"/>
      <c r="F43" s="192"/>
      <c r="G43" s="192"/>
      <c r="H43" s="192"/>
      <c r="I43" s="187"/>
      <c r="J43" s="187"/>
      <c r="K43"/>
    </row>
    <row r="44" spans="1:14" x14ac:dyDescent="0.25">
      <c r="A44" s="192"/>
      <c r="B44" s="195"/>
      <c r="C44" s="192"/>
      <c r="D44" s="192"/>
      <c r="E44" s="192"/>
      <c r="F44" s="192"/>
      <c r="G44" s="192"/>
      <c r="H44" s="192"/>
      <c r="I44" s="187"/>
      <c r="J44" s="187"/>
      <c r="K44"/>
    </row>
    <row r="45" spans="1:14" x14ac:dyDescent="0.25">
      <c r="A45" s="192"/>
      <c r="B45" s="195"/>
      <c r="C45" s="192"/>
      <c r="D45" s="192"/>
      <c r="E45" s="192"/>
      <c r="F45" s="192"/>
      <c r="G45" s="192"/>
      <c r="H45" s="192"/>
      <c r="I45" s="187"/>
      <c r="J45" s="187"/>
      <c r="K45"/>
    </row>
    <row r="46" spans="1:14" x14ac:dyDescent="0.25">
      <c r="A46" s="192"/>
      <c r="B46" s="195"/>
      <c r="C46" s="192"/>
      <c r="D46" s="192"/>
      <c r="E46" s="192"/>
      <c r="F46" s="192"/>
      <c r="G46" s="192"/>
      <c r="H46" s="192"/>
      <c r="I46" s="187"/>
      <c r="J46" s="187"/>
      <c r="K46"/>
    </row>
    <row r="47" spans="1:14" x14ac:dyDescent="0.25">
      <c r="A47" s="192"/>
      <c r="B47" s="195"/>
      <c r="C47" s="192"/>
      <c r="D47" s="192"/>
      <c r="E47" s="192"/>
      <c r="F47" s="192"/>
      <c r="G47" s="192"/>
      <c r="H47" s="192"/>
      <c r="I47" s="187"/>
      <c r="J47" s="187"/>
      <c r="K47"/>
    </row>
    <row r="48" spans="1:14" x14ac:dyDescent="0.25">
      <c r="A48" s="192"/>
      <c r="B48" s="195"/>
      <c r="C48" s="192"/>
      <c r="D48" s="192"/>
      <c r="E48" s="192"/>
      <c r="F48" s="192"/>
      <c r="G48" s="192"/>
      <c r="H48" s="192"/>
      <c r="I48" s="187"/>
      <c r="J48" s="187"/>
      <c r="K48"/>
    </row>
    <row r="49" spans="1:11" x14ac:dyDescent="0.25">
      <c r="A49" s="192"/>
      <c r="B49" s="195"/>
      <c r="C49" s="192"/>
      <c r="D49" s="192"/>
      <c r="E49" s="192"/>
      <c r="F49" s="192"/>
      <c r="G49" s="192"/>
      <c r="H49" s="192"/>
      <c r="I49" s="187"/>
      <c r="J49" s="187"/>
      <c r="K49"/>
    </row>
    <row r="50" spans="1:11" x14ac:dyDescent="0.25">
      <c r="A50" s="192"/>
      <c r="B50" s="195"/>
      <c r="C50" s="192"/>
      <c r="D50" s="192"/>
      <c r="E50" s="192"/>
      <c r="F50" s="192"/>
      <c r="G50" s="192"/>
      <c r="H50" s="192"/>
      <c r="I50" s="187"/>
      <c r="J50" s="187"/>
      <c r="K50"/>
    </row>
    <row r="51" spans="1:11" x14ac:dyDescent="0.25">
      <c r="A51" s="192"/>
      <c r="B51" s="195"/>
      <c r="C51" s="192"/>
      <c r="D51" s="192"/>
      <c r="E51" s="192"/>
      <c r="F51" s="192"/>
      <c r="G51" s="192"/>
      <c r="H51" s="192"/>
      <c r="I51" s="187"/>
      <c r="J51" s="187"/>
      <c r="K51"/>
    </row>
    <row r="52" spans="1:11" x14ac:dyDescent="0.25">
      <c r="A52" s="192"/>
      <c r="B52" s="195"/>
      <c r="C52" s="192"/>
      <c r="D52" s="192"/>
      <c r="E52" s="192"/>
      <c r="F52" s="192"/>
      <c r="G52" s="192"/>
      <c r="H52" s="192"/>
      <c r="I52" s="187"/>
      <c r="J52" s="187"/>
      <c r="K52"/>
    </row>
    <row r="53" spans="1:11" x14ac:dyDescent="0.25">
      <c r="A53" s="192"/>
      <c r="B53" s="195"/>
      <c r="C53" s="192"/>
      <c r="D53" s="192"/>
      <c r="E53" s="192"/>
      <c r="F53" s="192"/>
      <c r="G53" s="192"/>
      <c r="H53" s="192"/>
      <c r="I53" s="187"/>
      <c r="J53" s="187"/>
      <c r="K53"/>
    </row>
    <row r="54" spans="1:11" x14ac:dyDescent="0.25">
      <c r="A54" s="192"/>
      <c r="B54" s="195"/>
      <c r="C54" s="192"/>
      <c r="D54" s="192"/>
      <c r="E54" s="192"/>
      <c r="F54" s="192"/>
      <c r="G54" s="192"/>
      <c r="H54" s="192"/>
      <c r="I54" s="187"/>
      <c r="J54" s="187"/>
      <c r="K54"/>
    </row>
    <row r="55" spans="1:11" x14ac:dyDescent="0.25">
      <c r="A55" s="192"/>
      <c r="B55" s="195"/>
      <c r="C55" s="192"/>
      <c r="D55" s="192"/>
      <c r="E55" s="192"/>
      <c r="F55" s="192"/>
      <c r="G55" s="192"/>
      <c r="H55" s="192"/>
      <c r="I55" s="187"/>
      <c r="J55" s="187"/>
      <c r="K55"/>
    </row>
    <row r="56" spans="1:11" x14ac:dyDescent="0.25">
      <c r="A56" s="192"/>
      <c r="B56" s="195"/>
      <c r="C56" s="192"/>
      <c r="D56" s="192"/>
      <c r="E56" s="192"/>
      <c r="F56" s="192"/>
      <c r="G56" s="192"/>
      <c r="H56" s="192"/>
      <c r="I56" s="187"/>
      <c r="J56" s="187"/>
      <c r="K56"/>
    </row>
    <row r="57" spans="1:11" x14ac:dyDescent="0.25">
      <c r="A57" s="192"/>
      <c r="B57" s="195"/>
      <c r="C57" s="192"/>
      <c r="D57" s="192"/>
      <c r="E57" s="192"/>
      <c r="F57" s="192"/>
      <c r="G57" s="192"/>
      <c r="H57" s="192"/>
      <c r="I57" s="187"/>
      <c r="J57" s="187"/>
      <c r="K57"/>
    </row>
    <row r="58" spans="1:11" x14ac:dyDescent="0.25">
      <c r="A58" s="192"/>
      <c r="B58" s="195"/>
      <c r="C58" s="192"/>
      <c r="D58" s="192"/>
      <c r="E58" s="192"/>
      <c r="F58" s="192"/>
      <c r="G58" s="192"/>
      <c r="H58" s="192"/>
      <c r="I58" s="187"/>
      <c r="J58" s="187"/>
      <c r="K58"/>
    </row>
    <row r="59" spans="1:11" x14ac:dyDescent="0.25">
      <c r="A59" s="192"/>
      <c r="B59" s="195"/>
      <c r="C59" s="192"/>
      <c r="D59" s="192"/>
      <c r="E59" s="192"/>
      <c r="F59" s="192"/>
      <c r="G59" s="192"/>
      <c r="H59" s="192"/>
      <c r="I59" s="187"/>
      <c r="J59" s="187"/>
      <c r="K59"/>
    </row>
    <row r="60" spans="1:11" x14ac:dyDescent="0.25">
      <c r="A60" s="192"/>
      <c r="B60" s="195"/>
      <c r="C60" s="192"/>
      <c r="D60" s="192"/>
      <c r="E60" s="192"/>
      <c r="F60" s="192"/>
      <c r="G60" s="192"/>
      <c r="H60" s="192"/>
      <c r="I60" s="187"/>
      <c r="J60" s="187"/>
      <c r="K60"/>
    </row>
    <row r="61" spans="1:11" x14ac:dyDescent="0.25">
      <c r="A61" s="192"/>
      <c r="B61" s="195"/>
      <c r="C61" s="192"/>
      <c r="D61" s="192"/>
      <c r="E61" s="192"/>
      <c r="F61" s="192"/>
      <c r="G61" s="192"/>
      <c r="H61" s="192"/>
      <c r="I61" s="187"/>
      <c r="J61" s="187"/>
      <c r="K61"/>
    </row>
    <row r="62" spans="1:11" x14ac:dyDescent="0.25">
      <c r="A62" s="192"/>
      <c r="B62" s="195"/>
      <c r="C62" s="192"/>
      <c r="D62" s="192"/>
      <c r="E62" s="192"/>
      <c r="F62" s="192"/>
      <c r="G62" s="192"/>
      <c r="H62" s="192"/>
      <c r="I62" s="187"/>
      <c r="J62" s="187"/>
      <c r="K62"/>
    </row>
    <row r="63" spans="1:11" x14ac:dyDescent="0.25">
      <c r="A63" s="192"/>
      <c r="B63" s="195"/>
      <c r="C63" s="192"/>
      <c r="D63" s="192"/>
      <c r="E63" s="192"/>
      <c r="F63" s="192"/>
      <c r="G63" s="192"/>
      <c r="H63" s="192"/>
      <c r="I63" s="187"/>
      <c r="J63" s="187"/>
      <c r="K63"/>
    </row>
    <row r="64" spans="1:11" x14ac:dyDescent="0.25">
      <c r="A64" s="192"/>
      <c r="B64" s="195"/>
      <c r="C64" s="192"/>
      <c r="D64" s="192"/>
      <c r="E64" s="192"/>
      <c r="F64" s="192"/>
      <c r="G64" s="192"/>
      <c r="H64" s="192"/>
      <c r="I64" s="187"/>
      <c r="J64" s="187"/>
      <c r="K64"/>
    </row>
    <row r="65" spans="1:11" x14ac:dyDescent="0.25">
      <c r="A65" s="192"/>
      <c r="B65" s="195"/>
      <c r="C65" s="192"/>
      <c r="D65" s="192"/>
      <c r="E65" s="192"/>
      <c r="F65" s="192"/>
      <c r="G65" s="192"/>
      <c r="H65" s="192"/>
      <c r="I65" s="187"/>
      <c r="J65" s="187"/>
      <c r="K65"/>
    </row>
    <row r="66" spans="1:11" x14ac:dyDescent="0.25">
      <c r="A66" s="192"/>
      <c r="B66" s="195"/>
      <c r="C66" s="192"/>
      <c r="D66" s="192"/>
      <c r="E66" s="192"/>
      <c r="F66" s="192"/>
      <c r="G66" s="192"/>
      <c r="H66" s="192"/>
      <c r="I66" s="187"/>
      <c r="J66" s="187"/>
      <c r="K66"/>
    </row>
    <row r="67" spans="1:11" x14ac:dyDescent="0.25">
      <c r="A67" s="192"/>
      <c r="B67" s="195"/>
      <c r="C67" s="192"/>
      <c r="D67" s="192"/>
      <c r="E67" s="192"/>
      <c r="F67" s="192"/>
      <c r="G67" s="192"/>
      <c r="H67" s="192"/>
      <c r="I67" s="187"/>
      <c r="J67" s="187"/>
      <c r="K67"/>
    </row>
    <row r="68" spans="1:11" x14ac:dyDescent="0.25">
      <c r="A68" s="192"/>
      <c r="B68" s="195"/>
      <c r="C68" s="192"/>
      <c r="D68" s="192"/>
      <c r="E68" s="192"/>
      <c r="F68" s="192"/>
      <c r="G68" s="192"/>
      <c r="H68" s="192"/>
      <c r="I68" s="187"/>
      <c r="J68" s="187"/>
      <c r="K68"/>
    </row>
    <row r="69" spans="1:11" x14ac:dyDescent="0.25">
      <c r="A69" s="192"/>
      <c r="B69" s="195"/>
      <c r="C69" s="192"/>
      <c r="D69" s="192"/>
      <c r="E69" s="192"/>
      <c r="F69" s="192"/>
      <c r="G69" s="192"/>
      <c r="H69" s="192"/>
      <c r="I69" s="187"/>
      <c r="J69" s="187"/>
      <c r="K69"/>
    </row>
    <row r="70" spans="1:11" x14ac:dyDescent="0.25">
      <c r="A70" s="192"/>
      <c r="B70" s="195"/>
      <c r="C70" s="192"/>
      <c r="D70" s="192"/>
      <c r="E70" s="192"/>
      <c r="F70" s="192"/>
      <c r="G70" s="192"/>
      <c r="H70" s="192"/>
      <c r="I70" s="187"/>
      <c r="J70" s="187"/>
      <c r="K70"/>
    </row>
    <row r="71" spans="1:11" x14ac:dyDescent="0.25">
      <c r="A71" s="192"/>
      <c r="B71" s="195"/>
      <c r="C71" s="192"/>
      <c r="D71" s="192"/>
      <c r="E71" s="192"/>
      <c r="F71" s="192"/>
      <c r="G71" s="192"/>
      <c r="H71" s="192"/>
      <c r="I71" s="187"/>
      <c r="J71" s="187"/>
      <c r="K71"/>
    </row>
    <row r="72" spans="1:11" x14ac:dyDescent="0.25">
      <c r="A72" s="192"/>
      <c r="B72" s="195"/>
      <c r="C72" s="192"/>
      <c r="D72" s="192"/>
      <c r="E72" s="192"/>
      <c r="F72" s="192"/>
      <c r="G72" s="192"/>
      <c r="H72" s="192"/>
      <c r="I72" s="187"/>
      <c r="J72" s="187"/>
      <c r="K72"/>
    </row>
    <row r="73" spans="1:11" x14ac:dyDescent="0.25">
      <c r="A73" s="192"/>
      <c r="B73" s="195"/>
      <c r="C73" s="192"/>
      <c r="D73" s="192"/>
      <c r="E73" s="192"/>
      <c r="F73" s="192"/>
      <c r="G73" s="192"/>
      <c r="H73" s="192"/>
      <c r="I73" s="187"/>
      <c r="J73" s="187"/>
      <c r="K73"/>
    </row>
    <row r="74" spans="1:11" x14ac:dyDescent="0.25">
      <c r="A74" s="192"/>
      <c r="B74" s="195"/>
      <c r="C74" s="192"/>
      <c r="D74" s="192"/>
      <c r="E74" s="192"/>
      <c r="F74" s="192"/>
      <c r="G74" s="192"/>
      <c r="H74" s="192"/>
      <c r="I74" s="187"/>
      <c r="J74" s="187"/>
      <c r="K74"/>
    </row>
    <row r="75" spans="1:11" x14ac:dyDescent="0.25">
      <c r="A75" s="192"/>
      <c r="B75" s="195"/>
      <c r="C75" s="192"/>
      <c r="D75" s="192"/>
      <c r="E75" s="192"/>
      <c r="F75" s="192"/>
      <c r="G75" s="192"/>
      <c r="H75" s="192"/>
      <c r="I75" s="187"/>
      <c r="J75" s="187"/>
      <c r="K75"/>
    </row>
    <row r="76" spans="1:11" x14ac:dyDescent="0.25">
      <c r="A76" s="192"/>
      <c r="B76" s="195"/>
      <c r="C76" s="192"/>
      <c r="D76" s="192"/>
      <c r="E76" s="192"/>
      <c r="F76" s="192"/>
      <c r="G76" s="192"/>
      <c r="H76" s="192"/>
      <c r="I76" s="187"/>
      <c r="J76" s="187"/>
      <c r="K76"/>
    </row>
    <row r="77" spans="1:11" x14ac:dyDescent="0.25">
      <c r="A77" s="192"/>
      <c r="B77" s="195"/>
      <c r="C77" s="192"/>
      <c r="D77" s="192"/>
      <c r="E77" s="192"/>
      <c r="F77" s="192"/>
      <c r="G77" s="192"/>
      <c r="H77" s="192"/>
      <c r="I77" s="187"/>
      <c r="J77" s="187"/>
      <c r="K77"/>
    </row>
    <row r="78" spans="1:11" x14ac:dyDescent="0.25">
      <c r="A78" s="192"/>
      <c r="B78" s="195"/>
      <c r="C78" s="192"/>
      <c r="D78" s="192"/>
      <c r="E78" s="192"/>
      <c r="F78" s="192"/>
      <c r="G78" s="192"/>
      <c r="H78" s="192"/>
      <c r="I78" s="187"/>
      <c r="J78" s="187"/>
      <c r="K78"/>
    </row>
    <row r="79" spans="1:11" x14ac:dyDescent="0.25">
      <c r="A79" s="192"/>
      <c r="B79" s="195"/>
      <c r="C79" s="192"/>
      <c r="D79" s="192"/>
      <c r="E79" s="192"/>
      <c r="F79" s="192"/>
      <c r="G79" s="192"/>
      <c r="H79" s="192"/>
      <c r="I79" s="187"/>
      <c r="J79" s="187"/>
      <c r="K79"/>
    </row>
    <row r="80" spans="1:11" x14ac:dyDescent="0.25">
      <c r="A80" s="192"/>
      <c r="B80" s="195"/>
      <c r="C80" s="192"/>
      <c r="D80" s="192"/>
      <c r="E80" s="192"/>
      <c r="F80" s="192"/>
      <c r="G80" s="192"/>
      <c r="H80" s="192"/>
      <c r="I80" s="187"/>
      <c r="J80" s="187"/>
      <c r="K80"/>
    </row>
    <row r="81" spans="1:11" x14ac:dyDescent="0.25">
      <c r="A81" s="192"/>
      <c r="B81" s="195"/>
      <c r="C81" s="192"/>
      <c r="D81" s="192"/>
      <c r="E81" s="192"/>
      <c r="F81" s="192"/>
      <c r="G81" s="192"/>
      <c r="H81" s="192"/>
      <c r="I81" s="187"/>
      <c r="J81" s="187"/>
      <c r="K81"/>
    </row>
    <row r="82" spans="1:11" x14ac:dyDescent="0.25">
      <c r="A82" s="192"/>
      <c r="B82" s="195"/>
      <c r="C82" s="192"/>
      <c r="D82" s="192"/>
      <c r="E82" s="192"/>
      <c r="F82" s="192"/>
      <c r="G82" s="192"/>
      <c r="H82" s="192"/>
      <c r="I82" s="187"/>
      <c r="J82" s="187"/>
      <c r="K82"/>
    </row>
    <row r="83" spans="1:11" x14ac:dyDescent="0.25">
      <c r="A83" s="192"/>
      <c r="B83" s="195"/>
      <c r="C83" s="192"/>
      <c r="D83" s="192"/>
      <c r="E83" s="192"/>
      <c r="F83" s="192"/>
      <c r="G83" s="192"/>
      <c r="H83" s="192"/>
      <c r="I83" s="187"/>
      <c r="J83" s="187"/>
      <c r="K83"/>
    </row>
    <row r="84" spans="1:11" x14ac:dyDescent="0.25">
      <c r="A84" s="192"/>
      <c r="B84" s="195"/>
      <c r="C84" s="192"/>
      <c r="D84" s="192"/>
      <c r="E84" s="192"/>
      <c r="F84" s="192"/>
      <c r="G84" s="192"/>
      <c r="H84" s="192"/>
      <c r="I84" s="187"/>
      <c r="J84" s="187"/>
      <c r="K84"/>
    </row>
    <row r="85" spans="1:11" x14ac:dyDescent="0.25">
      <c r="A85" s="192"/>
      <c r="B85" s="195"/>
      <c r="C85" s="192"/>
      <c r="D85" s="192"/>
      <c r="E85" s="192"/>
      <c r="F85" s="192"/>
      <c r="G85" s="192"/>
      <c r="H85" s="192"/>
      <c r="I85" s="187"/>
      <c r="J85" s="187"/>
      <c r="K85"/>
    </row>
    <row r="86" spans="1:11" x14ac:dyDescent="0.25">
      <c r="A86" s="192"/>
      <c r="B86" s="195"/>
      <c r="C86" s="192"/>
      <c r="D86" s="192"/>
      <c r="E86" s="192"/>
      <c r="F86" s="192"/>
      <c r="G86" s="192"/>
      <c r="H86" s="192"/>
      <c r="I86" s="187"/>
      <c r="J86" s="187"/>
      <c r="K86"/>
    </row>
    <row r="87" spans="1:11" x14ac:dyDescent="0.25">
      <c r="A87" s="192"/>
      <c r="B87" s="195"/>
      <c r="C87" s="192"/>
      <c r="D87" s="192"/>
      <c r="E87" s="192"/>
      <c r="F87" s="192"/>
      <c r="G87" s="192"/>
      <c r="H87" s="192"/>
      <c r="I87" s="187"/>
      <c r="J87" s="187"/>
      <c r="K87"/>
    </row>
    <row r="88" spans="1:11" x14ac:dyDescent="0.25">
      <c r="A88" s="192"/>
      <c r="B88" s="195"/>
      <c r="C88" s="192"/>
      <c r="D88" s="192"/>
      <c r="E88" s="192"/>
      <c r="F88" s="192"/>
      <c r="G88" s="192"/>
      <c r="H88" s="192"/>
      <c r="I88" s="187"/>
      <c r="J88" s="187"/>
      <c r="K88"/>
    </row>
    <row r="89" spans="1:11" x14ac:dyDescent="0.25">
      <c r="A89" s="192"/>
      <c r="B89" s="195"/>
      <c r="C89" s="192"/>
      <c r="D89" s="192"/>
      <c r="E89" s="192"/>
      <c r="F89" s="192"/>
      <c r="G89" s="192"/>
      <c r="H89" s="192"/>
      <c r="I89" s="187"/>
      <c r="J89" s="187"/>
      <c r="K89"/>
    </row>
    <row r="90" spans="1:11" x14ac:dyDescent="0.25">
      <c r="A90" s="192"/>
      <c r="B90" s="195"/>
      <c r="C90" s="192"/>
      <c r="D90" s="192"/>
      <c r="E90" s="192"/>
      <c r="F90" s="192"/>
      <c r="G90" s="192"/>
      <c r="H90" s="192"/>
      <c r="I90" s="187"/>
      <c r="J90" s="187"/>
      <c r="K90"/>
    </row>
    <row r="91" spans="1:11" x14ac:dyDescent="0.25">
      <c r="A91" s="192"/>
      <c r="B91" s="195"/>
      <c r="C91" s="192"/>
      <c r="D91" s="192"/>
      <c r="E91" s="192"/>
      <c r="F91" s="192"/>
      <c r="G91" s="192"/>
      <c r="H91" s="192"/>
      <c r="I91" s="187"/>
      <c r="J91" s="187"/>
      <c r="K91"/>
    </row>
    <row r="92" spans="1:11" x14ac:dyDescent="0.25">
      <c r="A92" s="192"/>
      <c r="B92" s="195"/>
      <c r="C92" s="192"/>
      <c r="D92" s="192"/>
      <c r="E92" s="192"/>
      <c r="F92" s="192"/>
      <c r="G92" s="192"/>
      <c r="H92" s="192"/>
      <c r="I92" s="187"/>
      <c r="J92" s="187"/>
      <c r="K92"/>
    </row>
    <row r="93" spans="1:11" x14ac:dyDescent="0.25">
      <c r="A93" s="192"/>
      <c r="B93" s="195"/>
      <c r="C93" s="192"/>
      <c r="D93" s="192"/>
      <c r="E93" s="192"/>
      <c r="F93" s="192"/>
      <c r="G93" s="192"/>
      <c r="H93" s="192"/>
      <c r="I93" s="187"/>
      <c r="J93" s="187"/>
      <c r="K93"/>
    </row>
    <row r="94" spans="1:11" x14ac:dyDescent="0.25">
      <c r="A94" s="192"/>
      <c r="B94" s="195"/>
      <c r="C94" s="192"/>
      <c r="D94" s="192"/>
      <c r="E94" s="192"/>
      <c r="F94" s="192"/>
      <c r="G94" s="192"/>
      <c r="H94" s="192"/>
      <c r="I94" s="187"/>
      <c r="J94" s="187"/>
      <c r="K94"/>
    </row>
    <row r="95" spans="1:11" x14ac:dyDescent="0.25">
      <c r="A95" s="192"/>
      <c r="B95" s="195"/>
      <c r="C95" s="192"/>
      <c r="D95" s="192"/>
      <c r="E95" s="192"/>
      <c r="F95" s="192"/>
      <c r="G95" s="192"/>
      <c r="H95" s="192"/>
      <c r="I95" s="187"/>
      <c r="J95" s="187"/>
      <c r="K95"/>
    </row>
    <row r="96" spans="1:11" x14ac:dyDescent="0.25">
      <c r="A96" s="192"/>
      <c r="B96" s="195"/>
      <c r="C96" s="192"/>
      <c r="D96" s="192"/>
      <c r="E96" s="192"/>
      <c r="F96" s="192"/>
      <c r="G96" s="192"/>
      <c r="H96" s="192"/>
      <c r="I96" s="187"/>
      <c r="J96" s="187"/>
      <c r="K96"/>
    </row>
    <row r="97" spans="1:11" x14ac:dyDescent="0.25">
      <c r="A97" s="192"/>
      <c r="B97" s="195"/>
      <c r="C97" s="192"/>
      <c r="D97" s="192"/>
      <c r="E97" s="192"/>
      <c r="F97" s="192"/>
      <c r="G97" s="192"/>
      <c r="H97" s="192"/>
      <c r="I97" s="187"/>
      <c r="J97" s="187"/>
      <c r="K97"/>
    </row>
    <row r="98" spans="1:11" x14ac:dyDescent="0.25">
      <c r="A98" s="192"/>
      <c r="B98" s="195"/>
      <c r="C98" s="192"/>
      <c r="D98" s="192"/>
      <c r="E98" s="192"/>
      <c r="F98" s="192"/>
      <c r="G98" s="192"/>
      <c r="H98" s="192"/>
      <c r="I98" s="187"/>
      <c r="J98" s="187"/>
      <c r="K98"/>
    </row>
    <row r="99" spans="1:11" x14ac:dyDescent="0.25">
      <c r="A99" s="192"/>
      <c r="B99" s="195"/>
      <c r="C99" s="192"/>
      <c r="D99" s="192"/>
      <c r="E99" s="192"/>
      <c r="F99" s="192"/>
      <c r="G99" s="192"/>
      <c r="H99" s="192"/>
      <c r="I99" s="187"/>
      <c r="J99" s="187"/>
      <c r="K99"/>
    </row>
    <row r="100" spans="1:11" x14ac:dyDescent="0.25">
      <c r="A100" s="192"/>
      <c r="B100" s="195"/>
      <c r="C100" s="192"/>
      <c r="D100" s="192"/>
      <c r="E100" s="192"/>
      <c r="F100" s="192"/>
      <c r="G100" s="192"/>
      <c r="H100" s="192"/>
      <c r="I100" s="187"/>
      <c r="J100" s="187"/>
      <c r="K100"/>
    </row>
    <row r="101" spans="1:11" x14ac:dyDescent="0.25">
      <c r="A101" s="192"/>
      <c r="B101" s="195"/>
      <c r="C101" s="192"/>
      <c r="D101" s="192"/>
      <c r="E101" s="192"/>
      <c r="F101" s="192"/>
      <c r="G101" s="192"/>
      <c r="H101" s="192"/>
      <c r="I101" s="187"/>
      <c r="J101" s="187"/>
      <c r="K101"/>
    </row>
    <row r="102" spans="1:11" x14ac:dyDescent="0.25">
      <c r="A102" s="192"/>
      <c r="B102" s="195"/>
      <c r="C102" s="192"/>
      <c r="D102" s="192"/>
      <c r="E102" s="192"/>
      <c r="F102" s="192"/>
      <c r="G102" s="192"/>
      <c r="H102" s="192"/>
      <c r="I102" s="187"/>
      <c r="J102" s="187"/>
      <c r="K102"/>
    </row>
    <row r="103" spans="1:11" x14ac:dyDescent="0.25">
      <c r="A103" s="192"/>
      <c r="B103" s="195"/>
      <c r="C103" s="192"/>
      <c r="D103" s="192"/>
      <c r="E103" s="192"/>
      <c r="F103" s="192"/>
      <c r="G103" s="192"/>
      <c r="H103" s="192"/>
      <c r="I103" s="187"/>
      <c r="J103" s="187"/>
      <c r="K103"/>
    </row>
    <row r="104" spans="1:11" x14ac:dyDescent="0.25">
      <c r="A104" s="192"/>
      <c r="B104" s="195"/>
      <c r="C104" s="192"/>
      <c r="D104" s="192"/>
      <c r="E104" s="192"/>
      <c r="F104" s="192"/>
      <c r="G104" s="192"/>
      <c r="H104" s="192"/>
      <c r="I104" s="187"/>
      <c r="J104" s="187"/>
      <c r="K104"/>
    </row>
    <row r="105" spans="1:11" x14ac:dyDescent="0.25">
      <c r="A105" s="192"/>
      <c r="B105" s="195"/>
      <c r="C105" s="192"/>
      <c r="D105" s="192"/>
      <c r="E105" s="192"/>
      <c r="F105" s="192"/>
      <c r="G105" s="192"/>
      <c r="H105" s="192"/>
      <c r="I105" s="187"/>
      <c r="J105" s="187"/>
      <c r="K105"/>
    </row>
    <row r="106" spans="1:11" x14ac:dyDescent="0.25">
      <c r="A106" s="192"/>
      <c r="B106" s="195"/>
      <c r="C106" s="192"/>
      <c r="D106" s="192"/>
      <c r="E106" s="192"/>
      <c r="F106" s="192"/>
      <c r="G106" s="192"/>
      <c r="H106" s="192"/>
      <c r="I106" s="187"/>
      <c r="J106" s="187"/>
      <c r="K106"/>
    </row>
    <row r="107" spans="1:11" x14ac:dyDescent="0.25">
      <c r="A107" s="192"/>
      <c r="B107" s="195"/>
      <c r="C107" s="192"/>
      <c r="D107" s="192"/>
      <c r="E107" s="192"/>
      <c r="F107" s="192"/>
      <c r="G107" s="192"/>
      <c r="H107" s="192"/>
      <c r="I107" s="187"/>
      <c r="J107" s="187"/>
      <c r="K107"/>
    </row>
    <row r="108" spans="1:11" x14ac:dyDescent="0.25">
      <c r="A108" s="192"/>
      <c r="B108" s="195"/>
      <c r="C108" s="192"/>
      <c r="D108" s="192"/>
      <c r="E108" s="192"/>
      <c r="F108" s="192"/>
      <c r="G108" s="192"/>
      <c r="H108" s="192"/>
      <c r="I108" s="187"/>
      <c r="J108" s="187"/>
      <c r="K108"/>
    </row>
    <row r="109" spans="1:11" x14ac:dyDescent="0.25">
      <c r="A109" s="192"/>
      <c r="B109" s="195"/>
      <c r="C109" s="192"/>
      <c r="D109" s="192"/>
      <c r="E109" s="192"/>
      <c r="F109" s="192"/>
      <c r="G109" s="192"/>
      <c r="H109" s="192"/>
      <c r="I109" s="187"/>
      <c r="J109" s="187"/>
      <c r="K109"/>
    </row>
    <row r="110" spans="1:11" x14ac:dyDescent="0.25">
      <c r="A110" s="192"/>
      <c r="B110" s="195"/>
      <c r="C110" s="192"/>
      <c r="D110" s="192"/>
      <c r="E110" s="192"/>
      <c r="F110" s="192"/>
      <c r="G110" s="192"/>
      <c r="H110" s="192"/>
      <c r="I110" s="187"/>
      <c r="J110" s="187"/>
      <c r="K110"/>
    </row>
    <row r="111" spans="1:11" x14ac:dyDescent="0.25">
      <c r="A111" s="192"/>
      <c r="B111" s="195"/>
      <c r="C111" s="192"/>
      <c r="D111" s="192"/>
      <c r="E111" s="192"/>
      <c r="F111" s="192"/>
      <c r="G111" s="192"/>
      <c r="H111" s="192"/>
      <c r="I111" s="187"/>
      <c r="J111" s="187"/>
      <c r="K111"/>
    </row>
    <row r="112" spans="1:11" x14ac:dyDescent="0.25">
      <c r="A112" s="192"/>
      <c r="B112" s="195"/>
      <c r="C112" s="192"/>
      <c r="D112" s="192"/>
      <c r="E112" s="192"/>
      <c r="F112" s="192"/>
      <c r="G112" s="192"/>
      <c r="H112" s="192"/>
      <c r="I112" s="187"/>
      <c r="J112" s="187"/>
      <c r="K112"/>
    </row>
    <row r="113" spans="1:11" x14ac:dyDescent="0.25">
      <c r="A113" s="192"/>
      <c r="B113" s="195"/>
      <c r="C113" s="192"/>
      <c r="D113" s="192"/>
      <c r="E113" s="192"/>
      <c r="F113" s="192"/>
      <c r="G113" s="192"/>
      <c r="H113" s="192"/>
      <c r="I113" s="187"/>
      <c r="J113" s="187"/>
      <c r="K113"/>
    </row>
    <row r="114" spans="1:11" x14ac:dyDescent="0.25">
      <c r="A114" s="192"/>
      <c r="B114" s="195"/>
      <c r="C114" s="192"/>
      <c r="D114" s="192"/>
      <c r="E114" s="192"/>
      <c r="F114" s="192"/>
      <c r="G114" s="192"/>
      <c r="H114" s="192"/>
      <c r="I114" s="187"/>
      <c r="J114" s="187"/>
      <c r="K114"/>
    </row>
    <row r="115" spans="1:11" x14ac:dyDescent="0.25">
      <c r="A115" s="192"/>
      <c r="B115" s="195"/>
      <c r="C115" s="192"/>
      <c r="D115" s="192"/>
      <c r="E115" s="192"/>
      <c r="F115" s="192"/>
      <c r="G115" s="192"/>
      <c r="H115" s="192"/>
      <c r="I115" s="187"/>
      <c r="J115" s="187"/>
      <c r="K115"/>
    </row>
    <row r="116" spans="1:11" x14ac:dyDescent="0.25">
      <c r="A116" s="192"/>
      <c r="B116" s="195"/>
      <c r="C116" s="192"/>
      <c r="D116" s="192"/>
      <c r="E116" s="192"/>
      <c r="F116" s="192"/>
      <c r="G116" s="192"/>
      <c r="H116" s="192"/>
      <c r="I116" s="187"/>
      <c r="J116" s="187"/>
      <c r="K116"/>
    </row>
    <row r="117" spans="1:11" x14ac:dyDescent="0.25">
      <c r="A117" s="192"/>
      <c r="B117" s="195"/>
      <c r="C117" s="192"/>
      <c r="D117" s="192"/>
      <c r="E117" s="192"/>
      <c r="F117" s="192"/>
      <c r="G117" s="192"/>
      <c r="H117" s="192"/>
      <c r="I117" s="187"/>
      <c r="J117" s="187"/>
      <c r="K117"/>
    </row>
    <row r="118" spans="1:11" x14ac:dyDescent="0.25">
      <c r="A118" s="192"/>
      <c r="B118" s="195"/>
      <c r="C118" s="192"/>
      <c r="D118" s="192"/>
      <c r="E118" s="192"/>
      <c r="F118" s="192"/>
      <c r="G118" s="192"/>
      <c r="H118" s="192"/>
      <c r="I118" s="187"/>
      <c r="J118" s="187"/>
      <c r="K118"/>
    </row>
    <row r="119" spans="1:11" x14ac:dyDescent="0.25">
      <c r="A119" s="192"/>
      <c r="B119" s="195"/>
      <c r="C119" s="192"/>
      <c r="D119" s="192"/>
      <c r="E119" s="192"/>
      <c r="F119" s="192"/>
      <c r="G119" s="192"/>
      <c r="H119" s="192"/>
      <c r="I119" s="187"/>
      <c r="J119" s="187"/>
      <c r="K119"/>
    </row>
    <row r="120" spans="1:11" x14ac:dyDescent="0.25">
      <c r="A120" s="192"/>
      <c r="B120" s="195"/>
      <c r="C120" s="192"/>
      <c r="D120" s="192"/>
      <c r="E120" s="192"/>
      <c r="F120" s="192"/>
      <c r="G120" s="192"/>
      <c r="H120" s="192"/>
      <c r="I120" s="187"/>
      <c r="J120" s="187"/>
      <c r="K120"/>
    </row>
    <row r="121" spans="1:11" x14ac:dyDescent="0.25">
      <c r="A121" s="192"/>
      <c r="B121" s="195"/>
      <c r="C121" s="192"/>
      <c r="D121" s="192"/>
      <c r="E121" s="192"/>
      <c r="F121" s="192"/>
      <c r="G121" s="192"/>
      <c r="H121" s="192"/>
      <c r="I121" s="187"/>
      <c r="J121" s="187"/>
      <c r="K121"/>
    </row>
    <row r="122" spans="1:11" x14ac:dyDescent="0.25">
      <c r="A122" s="192"/>
      <c r="B122" s="195"/>
      <c r="C122" s="192"/>
      <c r="D122" s="192"/>
      <c r="E122" s="192"/>
      <c r="F122" s="192"/>
      <c r="G122" s="192"/>
      <c r="H122" s="192"/>
      <c r="I122" s="187"/>
      <c r="J122" s="187"/>
      <c r="K122"/>
    </row>
    <row r="123" spans="1:11" x14ac:dyDescent="0.25">
      <c r="A123" s="192"/>
      <c r="B123" s="195"/>
      <c r="C123" s="192"/>
      <c r="D123" s="192"/>
      <c r="E123" s="192"/>
      <c r="F123" s="192"/>
      <c r="G123" s="192"/>
      <c r="H123" s="192"/>
      <c r="I123" s="187"/>
      <c r="J123" s="187"/>
      <c r="K123"/>
    </row>
    <row r="124" spans="1:11" x14ac:dyDescent="0.25">
      <c r="A124" s="192"/>
      <c r="B124" s="195"/>
      <c r="C124" s="192"/>
      <c r="D124" s="192"/>
      <c r="E124" s="192"/>
      <c r="F124" s="192"/>
      <c r="G124" s="192"/>
      <c r="H124" s="192"/>
      <c r="I124" s="187"/>
      <c r="J124" s="187"/>
      <c r="K124"/>
    </row>
    <row r="125" spans="1:11" x14ac:dyDescent="0.25">
      <c r="A125" s="192"/>
      <c r="B125" s="195"/>
      <c r="C125" s="192"/>
      <c r="D125" s="192"/>
      <c r="E125" s="192"/>
      <c r="F125" s="192"/>
      <c r="G125" s="192"/>
      <c r="H125" s="192"/>
      <c r="I125" s="187"/>
      <c r="J125" s="187"/>
      <c r="K125"/>
    </row>
    <row r="126" spans="1:11" x14ac:dyDescent="0.25">
      <c r="A126" s="192"/>
      <c r="B126" s="195"/>
      <c r="C126" s="192"/>
      <c r="D126" s="192"/>
      <c r="E126" s="192"/>
      <c r="F126" s="192"/>
      <c r="G126" s="192"/>
      <c r="H126" s="192"/>
      <c r="I126" s="187"/>
      <c r="J126" s="187"/>
      <c r="K126"/>
    </row>
    <row r="127" spans="1:11" x14ac:dyDescent="0.25">
      <c r="A127" s="192"/>
      <c r="B127" s="195"/>
      <c r="C127" s="192"/>
      <c r="D127" s="192"/>
      <c r="E127" s="192"/>
      <c r="F127" s="192"/>
      <c r="G127" s="192"/>
      <c r="H127" s="192"/>
      <c r="I127" s="187"/>
      <c r="J127" s="187"/>
      <c r="K127"/>
    </row>
    <row r="128" spans="1:11" x14ac:dyDescent="0.25">
      <c r="A128" s="192"/>
      <c r="B128" s="195"/>
      <c r="C128" s="192"/>
      <c r="D128" s="192"/>
      <c r="E128" s="192"/>
      <c r="F128" s="192"/>
      <c r="G128" s="192"/>
      <c r="H128" s="192"/>
      <c r="I128" s="187"/>
      <c r="J128" s="187"/>
      <c r="K128"/>
    </row>
    <row r="129" spans="1:11" x14ac:dyDescent="0.25">
      <c r="A129" s="192"/>
      <c r="B129" s="195"/>
      <c r="C129" s="192"/>
      <c r="D129" s="192"/>
      <c r="E129" s="192"/>
      <c r="F129" s="192"/>
      <c r="G129" s="192"/>
      <c r="H129" s="192"/>
      <c r="I129" s="187"/>
      <c r="J129" s="187"/>
      <c r="K129"/>
    </row>
    <row r="130" spans="1:11" x14ac:dyDescent="0.25">
      <c r="A130" s="192"/>
      <c r="B130" s="195"/>
      <c r="C130" s="192"/>
      <c r="D130" s="192"/>
      <c r="E130" s="192"/>
      <c r="F130" s="192"/>
      <c r="G130" s="192"/>
      <c r="H130" s="192"/>
      <c r="I130" s="187"/>
      <c r="J130" s="187"/>
      <c r="K130"/>
    </row>
    <row r="131" spans="1:11" x14ac:dyDescent="0.25">
      <c r="A131" s="192"/>
      <c r="B131" s="195"/>
      <c r="C131" s="192"/>
      <c r="D131" s="192"/>
      <c r="E131" s="192"/>
      <c r="F131" s="192"/>
      <c r="G131" s="192"/>
      <c r="H131" s="192"/>
      <c r="I131" s="187"/>
      <c r="J131" s="187"/>
      <c r="K131"/>
    </row>
    <row r="132" spans="1:11" x14ac:dyDescent="0.25">
      <c r="A132" s="192"/>
      <c r="B132" s="195"/>
      <c r="C132" s="192"/>
      <c r="D132" s="192"/>
      <c r="E132" s="192"/>
      <c r="F132" s="192"/>
      <c r="G132" s="192"/>
      <c r="H132" s="192"/>
      <c r="I132" s="187"/>
      <c r="J132" s="187"/>
      <c r="K132"/>
    </row>
    <row r="133" spans="1:11" x14ac:dyDescent="0.25">
      <c r="A133" s="192"/>
      <c r="B133" s="195"/>
      <c r="C133" s="192"/>
      <c r="D133" s="192"/>
      <c r="E133" s="192"/>
      <c r="F133" s="192"/>
      <c r="G133" s="192"/>
      <c r="H133" s="192"/>
      <c r="I133" s="187"/>
      <c r="J133" s="187"/>
      <c r="K133"/>
    </row>
    <row r="134" spans="1:11" x14ac:dyDescent="0.25">
      <c r="A134" s="192"/>
      <c r="B134" s="195"/>
      <c r="C134" s="192"/>
      <c r="D134" s="192"/>
      <c r="E134" s="192"/>
      <c r="F134" s="192"/>
      <c r="G134" s="192"/>
      <c r="H134" s="192"/>
      <c r="I134" s="187"/>
      <c r="J134" s="187"/>
      <c r="K134"/>
    </row>
    <row r="135" spans="1:11" x14ac:dyDescent="0.25">
      <c r="A135" s="192"/>
      <c r="B135" s="195"/>
      <c r="C135" s="192"/>
      <c r="D135" s="192"/>
      <c r="E135" s="192"/>
      <c r="F135" s="192"/>
      <c r="G135" s="192"/>
      <c r="H135" s="192"/>
      <c r="I135" s="187"/>
      <c r="J135" s="187"/>
      <c r="K135"/>
    </row>
    <row r="136" spans="1:11" x14ac:dyDescent="0.25">
      <c r="A136" s="192"/>
      <c r="B136" s="195"/>
      <c r="C136" s="192"/>
      <c r="D136" s="192"/>
      <c r="E136" s="192"/>
      <c r="F136" s="192"/>
      <c r="G136" s="192"/>
      <c r="H136" s="192"/>
      <c r="I136" s="187"/>
      <c r="J136" s="187"/>
      <c r="K136"/>
    </row>
    <row r="137" spans="1:11" x14ac:dyDescent="0.25">
      <c r="A137" s="192"/>
      <c r="B137" s="195"/>
      <c r="C137" s="192"/>
      <c r="D137" s="192"/>
      <c r="E137" s="192"/>
      <c r="F137" s="192"/>
      <c r="G137" s="192"/>
      <c r="H137" s="192"/>
      <c r="I137" s="187"/>
      <c r="J137" s="187"/>
      <c r="K137"/>
    </row>
    <row r="138" spans="1:11" x14ac:dyDescent="0.25">
      <c r="A138" s="192"/>
      <c r="B138" s="195"/>
      <c r="C138" s="192"/>
      <c r="D138" s="192"/>
      <c r="E138" s="192"/>
      <c r="F138" s="192"/>
      <c r="G138" s="192"/>
      <c r="H138" s="192"/>
      <c r="I138" s="187"/>
      <c r="J138" s="187"/>
      <c r="K138"/>
    </row>
    <row r="139" spans="1:11" x14ac:dyDescent="0.25">
      <c r="A139" s="192"/>
      <c r="B139" s="195"/>
      <c r="C139" s="192"/>
      <c r="D139" s="192"/>
      <c r="E139" s="192"/>
      <c r="F139" s="192"/>
      <c r="G139" s="192"/>
      <c r="H139" s="192"/>
      <c r="I139" s="187"/>
      <c r="J139" s="187"/>
      <c r="K139"/>
    </row>
    <row r="140" spans="1:11" x14ac:dyDescent="0.25">
      <c r="A140" s="192"/>
      <c r="B140" s="195"/>
      <c r="C140" s="192"/>
      <c r="D140" s="192"/>
      <c r="E140" s="192"/>
      <c r="F140" s="192"/>
      <c r="G140" s="192"/>
      <c r="H140" s="192"/>
      <c r="I140" s="187"/>
      <c r="J140" s="187"/>
      <c r="K140"/>
    </row>
    <row r="141" spans="1:11" x14ac:dyDescent="0.25">
      <c r="A141" s="192"/>
      <c r="B141" s="195"/>
      <c r="C141" s="192"/>
      <c r="D141" s="192"/>
      <c r="E141" s="192"/>
      <c r="F141" s="192"/>
      <c r="G141" s="192"/>
      <c r="H141" s="192"/>
      <c r="I141" s="187"/>
      <c r="J141" s="187"/>
      <c r="K141"/>
    </row>
    <row r="142" spans="1:11" x14ac:dyDescent="0.25">
      <c r="A142" s="192"/>
      <c r="B142" s="195"/>
      <c r="C142" s="192"/>
      <c r="D142" s="192"/>
      <c r="E142" s="192"/>
      <c r="F142" s="192"/>
      <c r="G142" s="192"/>
      <c r="H142" s="192"/>
      <c r="I142" s="187"/>
      <c r="J142" s="187"/>
      <c r="K142"/>
    </row>
    <row r="143" spans="1:11" x14ac:dyDescent="0.25">
      <c r="A143" s="192"/>
      <c r="B143" s="195"/>
      <c r="C143" s="192"/>
      <c r="D143" s="192"/>
      <c r="E143" s="192"/>
      <c r="F143" s="192"/>
      <c r="G143" s="192"/>
      <c r="H143" s="192"/>
      <c r="I143" s="187"/>
      <c r="J143" s="187"/>
      <c r="K143"/>
    </row>
    <row r="144" spans="1:11" x14ac:dyDescent="0.25">
      <c r="A144" s="192"/>
      <c r="B144" s="195"/>
      <c r="C144" s="192"/>
      <c r="D144" s="192"/>
      <c r="E144" s="192"/>
      <c r="F144" s="192"/>
      <c r="G144" s="192"/>
      <c r="H144" s="192"/>
      <c r="I144" s="187"/>
      <c r="J144" s="187"/>
      <c r="K144"/>
    </row>
    <row r="145" spans="1:11" x14ac:dyDescent="0.25">
      <c r="A145" s="192"/>
      <c r="B145" s="195"/>
      <c r="C145" s="192"/>
      <c r="D145" s="192"/>
      <c r="E145" s="192"/>
      <c r="F145" s="192"/>
      <c r="G145" s="192"/>
      <c r="H145" s="192"/>
      <c r="I145" s="187"/>
      <c r="J145" s="187"/>
      <c r="K145"/>
    </row>
    <row r="146" spans="1:11" x14ac:dyDescent="0.25">
      <c r="A146" s="192"/>
      <c r="B146" s="195"/>
      <c r="C146" s="192"/>
      <c r="D146" s="192"/>
      <c r="E146" s="192"/>
      <c r="F146" s="192"/>
      <c r="G146" s="192"/>
      <c r="H146" s="192"/>
      <c r="I146" s="187"/>
      <c r="J146" s="187"/>
      <c r="K146"/>
    </row>
    <row r="147" spans="1:11" x14ac:dyDescent="0.25">
      <c r="A147" s="192"/>
      <c r="B147" s="195"/>
      <c r="C147" s="192"/>
      <c r="D147" s="192"/>
      <c r="E147" s="192"/>
      <c r="F147" s="192"/>
      <c r="G147" s="192"/>
      <c r="H147" s="192"/>
      <c r="I147" s="187"/>
      <c r="J147" s="187"/>
      <c r="K147"/>
    </row>
    <row r="148" spans="1:11" x14ac:dyDescent="0.25">
      <c r="A148" s="192"/>
      <c r="B148" s="195"/>
      <c r="C148" s="192"/>
      <c r="D148" s="192"/>
      <c r="E148" s="192"/>
      <c r="F148" s="192"/>
      <c r="G148" s="192"/>
      <c r="H148" s="192"/>
      <c r="I148" s="187"/>
      <c r="J148" s="187"/>
      <c r="K148"/>
    </row>
    <row r="149" spans="1:11" x14ac:dyDescent="0.25">
      <c r="A149" s="192"/>
      <c r="B149" s="195"/>
      <c r="C149" s="192"/>
      <c r="D149" s="192"/>
      <c r="E149" s="192"/>
      <c r="F149" s="192"/>
      <c r="G149" s="192"/>
      <c r="H149" s="192"/>
      <c r="I149" s="187"/>
      <c r="J149" s="187"/>
      <c r="K149"/>
    </row>
    <row r="150" spans="1:11" x14ac:dyDescent="0.25">
      <c r="A150" s="192"/>
      <c r="B150" s="195"/>
      <c r="C150" s="192"/>
      <c r="D150" s="192"/>
      <c r="E150" s="192"/>
      <c r="F150" s="192"/>
      <c r="G150" s="192"/>
      <c r="H150" s="192"/>
      <c r="I150" s="187"/>
      <c r="J150" s="187"/>
      <c r="K150"/>
    </row>
    <row r="151" spans="1:11" x14ac:dyDescent="0.25">
      <c r="A151" s="192"/>
      <c r="B151" s="195"/>
      <c r="C151" s="192"/>
      <c r="D151" s="192"/>
      <c r="E151" s="192"/>
      <c r="F151" s="192"/>
      <c r="G151" s="192"/>
      <c r="H151" s="192"/>
      <c r="I151" s="187"/>
      <c r="J151" s="187"/>
      <c r="K151"/>
    </row>
    <row r="152" spans="1:11" x14ac:dyDescent="0.25">
      <c r="A152" s="192"/>
      <c r="B152" s="195"/>
      <c r="C152" s="192"/>
      <c r="D152" s="192"/>
      <c r="E152" s="192"/>
      <c r="F152" s="192"/>
      <c r="G152" s="192"/>
      <c r="H152" s="192"/>
      <c r="I152" s="187"/>
      <c r="J152" s="187"/>
      <c r="K152"/>
    </row>
    <row r="153" spans="1:11" x14ac:dyDescent="0.25">
      <c r="A153" s="192"/>
      <c r="B153" s="195"/>
      <c r="C153" s="192"/>
      <c r="D153" s="192"/>
      <c r="E153" s="192"/>
      <c r="F153" s="192"/>
      <c r="G153" s="192"/>
      <c r="H153" s="192"/>
      <c r="I153" s="187"/>
      <c r="J153" s="187"/>
      <c r="K153"/>
    </row>
    <row r="154" spans="1:11" x14ac:dyDescent="0.25">
      <c r="A154" s="192"/>
      <c r="B154" s="195"/>
      <c r="C154" s="192"/>
      <c r="D154" s="192"/>
      <c r="E154" s="192"/>
      <c r="F154" s="192"/>
      <c r="G154" s="192"/>
      <c r="H154" s="192"/>
      <c r="I154" s="187"/>
      <c r="J154" s="187"/>
      <c r="K154"/>
    </row>
    <row r="155" spans="1:11" x14ac:dyDescent="0.25">
      <c r="A155" s="192"/>
      <c r="B155" s="195"/>
      <c r="C155" s="192"/>
      <c r="D155" s="192"/>
      <c r="E155" s="192"/>
      <c r="F155" s="192"/>
      <c r="G155" s="192"/>
      <c r="H155" s="192"/>
      <c r="I155" s="187"/>
      <c r="J155" s="187"/>
      <c r="K155"/>
    </row>
    <row r="156" spans="1:11" x14ac:dyDescent="0.25">
      <c r="A156" s="192"/>
      <c r="B156" s="195"/>
      <c r="C156" s="192"/>
      <c r="D156" s="192"/>
      <c r="E156" s="192"/>
      <c r="F156" s="192"/>
      <c r="G156" s="192"/>
      <c r="H156" s="192"/>
      <c r="I156" s="187"/>
      <c r="J156" s="187"/>
      <c r="K156"/>
    </row>
    <row r="157" spans="1:11" x14ac:dyDescent="0.25">
      <c r="A157" s="192"/>
      <c r="B157" s="195"/>
      <c r="C157" s="192"/>
      <c r="D157" s="192"/>
      <c r="E157" s="192"/>
      <c r="F157" s="192"/>
      <c r="G157" s="192"/>
      <c r="H157" s="192"/>
      <c r="I157" s="187"/>
      <c r="J157" s="187"/>
      <c r="K157"/>
    </row>
    <row r="158" spans="1:11" x14ac:dyDescent="0.25">
      <c r="A158" s="192"/>
      <c r="B158" s="195"/>
      <c r="C158" s="192"/>
      <c r="D158" s="192"/>
      <c r="E158" s="192"/>
      <c r="F158" s="192"/>
      <c r="G158" s="192"/>
      <c r="H158" s="192"/>
      <c r="I158" s="187"/>
      <c r="J158" s="187"/>
      <c r="K158"/>
    </row>
    <row r="159" spans="1:11" x14ac:dyDescent="0.25">
      <c r="A159" s="192"/>
      <c r="B159" s="195"/>
      <c r="C159" s="192"/>
      <c r="D159" s="192"/>
      <c r="E159" s="192"/>
      <c r="F159" s="192"/>
      <c r="G159" s="192"/>
      <c r="H159" s="192"/>
      <c r="I159" s="187"/>
      <c r="J159" s="187"/>
      <c r="K159"/>
    </row>
    <row r="160" spans="1:11" x14ac:dyDescent="0.25">
      <c r="A160" s="192"/>
      <c r="B160" s="195"/>
      <c r="C160" s="192"/>
      <c r="D160" s="192"/>
      <c r="E160" s="192"/>
      <c r="F160" s="192"/>
      <c r="G160" s="192"/>
      <c r="H160" s="192"/>
      <c r="I160" s="187"/>
      <c r="J160" s="187"/>
      <c r="K160"/>
    </row>
    <row r="161" spans="1:11" x14ac:dyDescent="0.25">
      <c r="A161" s="192"/>
      <c r="B161" s="195"/>
      <c r="C161" s="192"/>
      <c r="D161" s="192"/>
      <c r="E161" s="192"/>
      <c r="F161" s="192"/>
      <c r="G161" s="192"/>
      <c r="H161" s="192"/>
      <c r="I161" s="187"/>
      <c r="J161" s="187"/>
      <c r="K161"/>
    </row>
    <row r="162" spans="1:11" x14ac:dyDescent="0.25">
      <c r="A162" s="192"/>
      <c r="B162" s="195"/>
      <c r="C162" s="192"/>
      <c r="D162" s="192"/>
      <c r="E162" s="192"/>
      <c r="F162" s="192"/>
      <c r="G162" s="192"/>
      <c r="H162" s="192"/>
      <c r="I162" s="187"/>
      <c r="J162" s="187"/>
      <c r="K162"/>
    </row>
    <row r="163" spans="1:11" x14ac:dyDescent="0.25">
      <c r="A163" s="192"/>
      <c r="B163" s="195"/>
      <c r="C163" s="192"/>
      <c r="D163" s="192"/>
      <c r="E163" s="192"/>
      <c r="F163" s="192"/>
      <c r="G163" s="192"/>
      <c r="H163" s="192"/>
      <c r="I163" s="187"/>
      <c r="J163" s="187"/>
      <c r="K163"/>
    </row>
    <row r="164" spans="1:11" x14ac:dyDescent="0.25">
      <c r="A164" s="192"/>
      <c r="B164" s="195"/>
      <c r="C164" s="192"/>
      <c r="D164" s="192"/>
      <c r="E164" s="192"/>
      <c r="F164" s="192"/>
      <c r="G164" s="192"/>
      <c r="H164" s="192"/>
      <c r="I164" s="187"/>
      <c r="J164" s="187"/>
      <c r="K164"/>
    </row>
    <row r="165" spans="1:11" x14ac:dyDescent="0.25">
      <c r="A165" s="192"/>
      <c r="B165" s="195"/>
      <c r="C165" s="192"/>
      <c r="D165" s="192"/>
      <c r="E165" s="192"/>
      <c r="F165" s="192"/>
      <c r="G165" s="192"/>
      <c r="H165" s="192"/>
      <c r="I165" s="187"/>
      <c r="J165" s="187"/>
      <c r="K165"/>
    </row>
    <row r="166" spans="1:11" x14ac:dyDescent="0.25">
      <c r="A166" s="192"/>
      <c r="B166" s="195"/>
      <c r="C166" s="192"/>
      <c r="D166" s="192"/>
      <c r="E166" s="192"/>
      <c r="F166" s="192"/>
      <c r="G166" s="192"/>
      <c r="H166" s="192"/>
      <c r="I166" s="187"/>
      <c r="J166" s="187"/>
      <c r="K166"/>
    </row>
    <row r="167" spans="1:11" x14ac:dyDescent="0.25">
      <c r="A167" s="192"/>
      <c r="B167" s="195"/>
      <c r="C167" s="192"/>
      <c r="D167" s="192"/>
      <c r="E167" s="192"/>
      <c r="F167" s="192"/>
      <c r="G167" s="192"/>
      <c r="H167" s="192"/>
      <c r="I167" s="187"/>
      <c r="J167" s="187"/>
      <c r="K167"/>
    </row>
    <row r="168" spans="1:11" x14ac:dyDescent="0.25">
      <c r="A168" s="192"/>
      <c r="B168" s="195"/>
      <c r="C168" s="192"/>
      <c r="D168" s="192"/>
      <c r="E168" s="192"/>
      <c r="F168" s="192"/>
      <c r="G168" s="192"/>
      <c r="H168" s="192"/>
      <c r="I168" s="187"/>
      <c r="J168" s="187"/>
      <c r="K168"/>
    </row>
    <row r="169" spans="1:11" x14ac:dyDescent="0.25">
      <c r="A169" s="192"/>
      <c r="B169" s="195"/>
      <c r="C169" s="192"/>
      <c r="D169" s="192"/>
      <c r="E169" s="192"/>
      <c r="F169" s="192"/>
      <c r="G169" s="192"/>
      <c r="H169" s="192"/>
      <c r="I169" s="187"/>
      <c r="J169" s="187"/>
      <c r="K169"/>
    </row>
    <row r="170" spans="1:11" x14ac:dyDescent="0.25">
      <c r="A170" s="192"/>
      <c r="B170" s="195"/>
      <c r="C170" s="192"/>
      <c r="D170" s="192"/>
      <c r="E170" s="192"/>
      <c r="F170" s="192"/>
      <c r="G170" s="192"/>
      <c r="H170" s="192"/>
      <c r="I170" s="187"/>
      <c r="J170" s="187"/>
      <c r="K170"/>
    </row>
    <row r="171" spans="1:11" x14ac:dyDescent="0.25">
      <c r="A171" s="192"/>
      <c r="B171" s="195"/>
      <c r="C171" s="192"/>
      <c r="D171" s="192"/>
      <c r="E171" s="192"/>
      <c r="F171" s="192"/>
      <c r="G171" s="192"/>
      <c r="H171" s="192"/>
      <c r="I171" s="187"/>
      <c r="J171" s="187"/>
      <c r="K171"/>
    </row>
    <row r="172" spans="1:11" x14ac:dyDescent="0.25">
      <c r="A172" s="192"/>
      <c r="B172" s="195"/>
      <c r="C172" s="192"/>
      <c r="D172" s="192"/>
      <c r="E172" s="192"/>
      <c r="F172" s="192"/>
      <c r="G172" s="192"/>
      <c r="H172" s="192"/>
      <c r="I172" s="187"/>
      <c r="J172" s="187"/>
      <c r="K172"/>
    </row>
    <row r="173" spans="1:11" x14ac:dyDescent="0.25">
      <c r="A173" s="192"/>
      <c r="B173" s="195"/>
      <c r="C173" s="192"/>
      <c r="D173" s="192"/>
      <c r="E173" s="192"/>
      <c r="F173" s="192"/>
      <c r="G173" s="192"/>
      <c r="H173" s="192"/>
      <c r="I173" s="187"/>
      <c r="J173" s="187"/>
      <c r="K173"/>
    </row>
    <row r="174" spans="1:11" x14ac:dyDescent="0.25">
      <c r="A174" s="192"/>
      <c r="B174" s="195"/>
      <c r="C174" s="192"/>
      <c r="D174" s="192"/>
      <c r="E174" s="192"/>
      <c r="F174" s="192"/>
      <c r="G174" s="192"/>
      <c r="H174" s="192"/>
      <c r="I174" s="187"/>
      <c r="J174" s="187"/>
      <c r="K174"/>
    </row>
    <row r="175" spans="1:11" x14ac:dyDescent="0.25">
      <c r="A175" s="192"/>
      <c r="B175" s="195"/>
      <c r="C175" s="192"/>
      <c r="D175" s="192"/>
      <c r="E175" s="192"/>
      <c r="F175" s="192"/>
      <c r="G175" s="192"/>
      <c r="H175" s="192"/>
      <c r="I175" s="187"/>
      <c r="J175" s="187"/>
      <c r="K175"/>
    </row>
    <row r="176" spans="1:11" x14ac:dyDescent="0.25">
      <c r="A176" s="192"/>
      <c r="B176" s="195"/>
      <c r="C176" s="192"/>
      <c r="D176" s="192"/>
      <c r="E176" s="192"/>
      <c r="F176" s="192"/>
      <c r="G176" s="192"/>
      <c r="H176" s="192"/>
      <c r="I176" s="187"/>
      <c r="J176" s="187"/>
      <c r="K176"/>
    </row>
    <row r="177" spans="1:11" x14ac:dyDescent="0.25">
      <c r="A177" s="192"/>
      <c r="B177" s="195"/>
      <c r="C177" s="192"/>
      <c r="D177" s="192"/>
      <c r="E177" s="192"/>
      <c r="F177" s="192"/>
      <c r="G177" s="192"/>
      <c r="H177" s="192"/>
      <c r="I177" s="187"/>
      <c r="J177" s="187"/>
      <c r="K177"/>
    </row>
    <row r="178" spans="1:11" x14ac:dyDescent="0.25">
      <c r="A178" s="192"/>
      <c r="B178" s="195"/>
      <c r="C178" s="192"/>
      <c r="D178" s="192"/>
      <c r="E178" s="192"/>
      <c r="F178" s="192"/>
      <c r="G178" s="192"/>
      <c r="H178" s="192"/>
      <c r="I178" s="187"/>
      <c r="J178" s="187"/>
      <c r="K178"/>
    </row>
    <row r="179" spans="1:11" x14ac:dyDescent="0.25">
      <c r="A179" s="192"/>
      <c r="B179" s="195"/>
      <c r="C179" s="192"/>
      <c r="D179" s="192"/>
      <c r="E179" s="192"/>
      <c r="F179" s="192"/>
      <c r="G179" s="192"/>
      <c r="H179" s="192"/>
      <c r="I179" s="187"/>
      <c r="J179" s="187"/>
      <c r="K179"/>
    </row>
    <row r="180" spans="1:11" x14ac:dyDescent="0.25">
      <c r="A180" s="192"/>
      <c r="B180" s="195"/>
      <c r="C180" s="192"/>
      <c r="D180" s="192"/>
      <c r="E180" s="192"/>
      <c r="F180" s="192"/>
      <c r="G180" s="192"/>
      <c r="H180" s="192"/>
      <c r="I180" s="187"/>
      <c r="J180" s="187"/>
      <c r="K180"/>
    </row>
    <row r="181" spans="1:11" x14ac:dyDescent="0.25">
      <c r="A181" s="192"/>
      <c r="B181" s="195"/>
      <c r="C181" s="192"/>
      <c r="D181" s="192"/>
      <c r="E181" s="192"/>
      <c r="F181" s="192"/>
      <c r="G181" s="192"/>
      <c r="H181" s="192"/>
      <c r="I181" s="187"/>
      <c r="J181" s="187"/>
      <c r="K181"/>
    </row>
    <row r="182" spans="1:11" x14ac:dyDescent="0.25">
      <c r="A182" s="192"/>
      <c r="B182" s="195"/>
      <c r="C182" s="192"/>
      <c r="D182" s="192"/>
      <c r="E182" s="192"/>
      <c r="F182" s="192"/>
      <c r="G182" s="192"/>
      <c r="H182" s="192"/>
      <c r="I182" s="187"/>
      <c r="J182" s="187"/>
      <c r="K182"/>
    </row>
    <row r="183" spans="1:11" x14ac:dyDescent="0.25">
      <c r="A183" s="192"/>
      <c r="B183" s="195"/>
      <c r="C183" s="192"/>
      <c r="D183" s="192"/>
      <c r="E183" s="192"/>
      <c r="F183" s="192"/>
      <c r="G183" s="192"/>
      <c r="H183" s="192"/>
      <c r="I183" s="187"/>
      <c r="J183" s="187"/>
      <c r="K183"/>
    </row>
    <row r="184" spans="1:11" x14ac:dyDescent="0.25">
      <c r="A184" s="192"/>
      <c r="B184" s="195"/>
      <c r="C184" s="192"/>
      <c r="D184" s="192"/>
      <c r="E184" s="192"/>
      <c r="F184" s="192"/>
      <c r="G184" s="192"/>
      <c r="H184" s="192"/>
      <c r="I184" s="187"/>
      <c r="J184" s="187"/>
      <c r="K184"/>
    </row>
    <row r="185" spans="1:11" x14ac:dyDescent="0.25">
      <c r="A185" s="192"/>
      <c r="B185" s="195"/>
      <c r="C185" s="192"/>
      <c r="D185" s="192"/>
      <c r="E185" s="192"/>
      <c r="F185" s="192"/>
      <c r="G185" s="192"/>
      <c r="H185" s="192"/>
      <c r="I185" s="187"/>
      <c r="J185" s="187"/>
      <c r="K185"/>
    </row>
    <row r="186" spans="1:11" x14ac:dyDescent="0.25">
      <c r="A186" s="192"/>
      <c r="B186" s="195"/>
      <c r="C186" s="192"/>
      <c r="D186" s="192"/>
      <c r="E186" s="192"/>
      <c r="F186" s="192"/>
      <c r="G186" s="192"/>
      <c r="H186" s="192"/>
      <c r="I186" s="187"/>
      <c r="J186" s="187"/>
      <c r="K186"/>
    </row>
    <row r="187" spans="1:11" x14ac:dyDescent="0.25">
      <c r="A187" s="192"/>
      <c r="B187" s="195"/>
      <c r="C187" s="192"/>
      <c r="D187" s="192"/>
      <c r="E187" s="192"/>
      <c r="F187" s="192"/>
      <c r="G187" s="192"/>
      <c r="H187" s="192"/>
      <c r="I187" s="187"/>
      <c r="J187" s="187"/>
      <c r="K187"/>
    </row>
    <row r="188" spans="1:11" x14ac:dyDescent="0.25">
      <c r="A188" s="192"/>
      <c r="B188" s="195"/>
      <c r="C188" s="192"/>
      <c r="D188" s="192"/>
      <c r="E188" s="192"/>
      <c r="F188" s="192"/>
      <c r="G188" s="192"/>
      <c r="H188" s="192"/>
      <c r="I188" s="187"/>
      <c r="J188" s="187"/>
      <c r="K188"/>
    </row>
    <row r="189" spans="1:11" x14ac:dyDescent="0.25">
      <c r="A189" s="192"/>
      <c r="B189" s="195"/>
      <c r="C189" s="192"/>
      <c r="D189" s="192"/>
      <c r="E189" s="192"/>
      <c r="F189" s="192"/>
      <c r="G189" s="192"/>
      <c r="H189" s="192"/>
      <c r="I189" s="187"/>
      <c r="J189" s="187"/>
      <c r="K189"/>
    </row>
    <row r="190" spans="1:11" x14ac:dyDescent="0.25">
      <c r="A190" s="192"/>
      <c r="B190" s="195"/>
      <c r="C190" s="192"/>
      <c r="D190" s="192"/>
      <c r="E190" s="192"/>
      <c r="F190" s="192"/>
      <c r="G190" s="192"/>
      <c r="H190" s="192"/>
      <c r="I190" s="187"/>
      <c r="J190" s="187"/>
      <c r="K190"/>
    </row>
    <row r="191" spans="1:11" x14ac:dyDescent="0.25">
      <c r="A191" s="192"/>
      <c r="B191" s="195"/>
      <c r="C191" s="192"/>
      <c r="D191" s="192"/>
      <c r="E191" s="192"/>
      <c r="F191" s="192"/>
      <c r="G191" s="192"/>
      <c r="H191" s="192"/>
      <c r="I191" s="187"/>
      <c r="J191" s="187"/>
      <c r="K191"/>
    </row>
    <row r="192" spans="1:11" x14ac:dyDescent="0.25">
      <c r="A192" s="192"/>
      <c r="B192" s="195"/>
      <c r="C192" s="192"/>
      <c r="D192" s="192"/>
      <c r="E192" s="192"/>
      <c r="F192" s="192"/>
      <c r="G192" s="192"/>
      <c r="H192" s="192"/>
      <c r="I192" s="187"/>
      <c r="J192" s="187"/>
      <c r="K192"/>
    </row>
    <row r="193" spans="1:11" x14ac:dyDescent="0.25">
      <c r="A193" s="192"/>
      <c r="B193" s="195"/>
      <c r="C193" s="192"/>
      <c r="D193" s="192"/>
      <c r="E193" s="192"/>
      <c r="F193" s="192"/>
      <c r="G193" s="192"/>
      <c r="H193" s="192"/>
      <c r="I193" s="187"/>
      <c r="J193" s="187"/>
      <c r="K193"/>
    </row>
    <row r="194" spans="1:11" x14ac:dyDescent="0.25">
      <c r="A194" s="192"/>
      <c r="B194" s="195"/>
      <c r="C194" s="192"/>
      <c r="D194" s="192"/>
      <c r="E194" s="192"/>
      <c r="F194" s="192"/>
      <c r="G194" s="192"/>
      <c r="H194" s="192"/>
      <c r="I194" s="187"/>
      <c r="J194" s="187"/>
      <c r="K194"/>
    </row>
    <row r="195" spans="1:11" x14ac:dyDescent="0.25">
      <c r="A195" s="192"/>
      <c r="B195" s="195"/>
      <c r="C195" s="192"/>
      <c r="D195" s="192"/>
      <c r="E195" s="192"/>
      <c r="F195" s="192"/>
      <c r="G195" s="192"/>
      <c r="H195" s="192"/>
      <c r="I195" s="187"/>
      <c r="J195" s="187"/>
      <c r="K195"/>
    </row>
    <row r="196" spans="1:11" x14ac:dyDescent="0.25">
      <c r="A196" s="192"/>
      <c r="B196" s="195"/>
      <c r="C196" s="192"/>
      <c r="D196" s="192"/>
      <c r="E196" s="192"/>
      <c r="F196" s="192"/>
      <c r="G196" s="192"/>
      <c r="H196" s="192"/>
      <c r="I196" s="187"/>
      <c r="J196" s="187"/>
      <c r="K196"/>
    </row>
    <row r="197" spans="1:11" x14ac:dyDescent="0.25">
      <c r="A197" s="192"/>
      <c r="B197" s="195"/>
      <c r="C197" s="192"/>
      <c r="D197" s="192"/>
      <c r="E197" s="192"/>
      <c r="F197" s="192"/>
      <c r="G197" s="192"/>
      <c r="H197" s="192"/>
      <c r="I197" s="187"/>
      <c r="J197" s="187"/>
      <c r="K197"/>
    </row>
    <row r="198" spans="1:11" x14ac:dyDescent="0.25">
      <c r="A198" s="192"/>
      <c r="B198" s="195"/>
      <c r="C198" s="192"/>
      <c r="D198" s="192"/>
      <c r="E198" s="192"/>
      <c r="F198" s="192"/>
      <c r="G198" s="192"/>
      <c r="H198" s="192"/>
      <c r="I198" s="187"/>
      <c r="J198" s="187"/>
      <c r="K198"/>
    </row>
    <row r="199" spans="1:11" x14ac:dyDescent="0.25">
      <c r="A199" s="192"/>
      <c r="B199" s="195"/>
      <c r="C199" s="192"/>
      <c r="D199" s="192"/>
      <c r="E199" s="192"/>
      <c r="F199" s="192"/>
      <c r="G199" s="192"/>
      <c r="H199" s="192"/>
      <c r="I199" s="187"/>
      <c r="J199" s="187"/>
      <c r="K199"/>
    </row>
    <row r="200" spans="1:11" x14ac:dyDescent="0.25">
      <c r="A200" s="192"/>
      <c r="B200" s="195"/>
      <c r="C200" s="192"/>
      <c r="D200" s="192"/>
      <c r="E200" s="192"/>
      <c r="F200" s="192"/>
      <c r="G200" s="192"/>
      <c r="H200" s="192"/>
      <c r="I200" s="187"/>
      <c r="J200" s="187"/>
      <c r="K200"/>
    </row>
    <row r="201" spans="1:11" x14ac:dyDescent="0.25">
      <c r="A201" s="192"/>
      <c r="B201" s="195"/>
      <c r="C201" s="192"/>
      <c r="D201" s="192"/>
      <c r="E201" s="192"/>
      <c r="F201" s="192"/>
      <c r="G201" s="192"/>
      <c r="H201" s="192"/>
      <c r="I201" s="187"/>
      <c r="J201" s="187"/>
      <c r="K201"/>
    </row>
    <row r="202" spans="1:11" x14ac:dyDescent="0.25">
      <c r="A202" s="192"/>
      <c r="B202" s="195"/>
      <c r="C202" s="192"/>
      <c r="D202" s="192"/>
      <c r="E202" s="192"/>
      <c r="F202" s="192"/>
      <c r="G202" s="192"/>
      <c r="H202" s="192"/>
      <c r="I202" s="187"/>
      <c r="J202" s="187"/>
      <c r="K202"/>
    </row>
    <row r="203" spans="1:11" x14ac:dyDescent="0.25">
      <c r="A203" s="192"/>
      <c r="B203" s="195"/>
      <c r="C203" s="192"/>
      <c r="D203" s="192"/>
      <c r="E203" s="192"/>
      <c r="F203" s="192"/>
      <c r="G203" s="192"/>
      <c r="H203" s="192"/>
      <c r="I203" s="187"/>
      <c r="J203" s="187"/>
      <c r="K203"/>
    </row>
    <row r="204" spans="1:11" x14ac:dyDescent="0.25">
      <c r="A204" s="192"/>
      <c r="B204" s="195"/>
      <c r="C204" s="192"/>
      <c r="D204" s="192"/>
      <c r="E204" s="192"/>
      <c r="F204" s="192"/>
      <c r="G204" s="192"/>
      <c r="H204" s="192"/>
      <c r="I204" s="187"/>
      <c r="J204" s="187"/>
      <c r="K204"/>
    </row>
    <row r="205" spans="1:11" x14ac:dyDescent="0.25">
      <c r="A205" s="192"/>
      <c r="B205" s="195"/>
      <c r="C205" s="192"/>
      <c r="D205" s="192"/>
      <c r="E205" s="192"/>
      <c r="F205" s="192"/>
      <c r="G205" s="192"/>
      <c r="H205" s="192"/>
      <c r="I205" s="187"/>
      <c r="J205" s="187"/>
      <c r="K205"/>
    </row>
    <row r="206" spans="1:11" x14ac:dyDescent="0.25">
      <c r="A206" s="192"/>
      <c r="B206" s="195"/>
      <c r="C206" s="192"/>
      <c r="D206" s="192"/>
      <c r="E206" s="192"/>
      <c r="F206" s="192"/>
      <c r="G206" s="192"/>
      <c r="H206" s="192"/>
      <c r="I206" s="187"/>
      <c r="J206" s="187"/>
      <c r="K206"/>
    </row>
    <row r="207" spans="1:11" x14ac:dyDescent="0.25">
      <c r="A207" s="192"/>
      <c r="B207" s="195"/>
      <c r="C207" s="192"/>
      <c r="D207" s="192"/>
      <c r="E207" s="192"/>
      <c r="F207" s="192"/>
      <c r="G207" s="192"/>
      <c r="H207" s="192"/>
      <c r="I207" s="187"/>
      <c r="J207" s="187"/>
      <c r="K207"/>
    </row>
    <row r="208" spans="1:11" x14ac:dyDescent="0.25">
      <c r="A208" s="192"/>
      <c r="B208" s="195"/>
      <c r="C208" s="192"/>
      <c r="D208" s="192"/>
      <c r="E208" s="192"/>
      <c r="F208" s="192"/>
      <c r="G208" s="192"/>
      <c r="H208" s="192"/>
      <c r="I208" s="187"/>
      <c r="J208" s="187"/>
      <c r="K208"/>
    </row>
    <row r="209" spans="1:11" x14ac:dyDescent="0.25">
      <c r="A209" s="192"/>
      <c r="B209" s="195"/>
      <c r="C209" s="192"/>
      <c r="D209" s="192"/>
      <c r="E209" s="192"/>
      <c r="F209" s="192"/>
      <c r="G209" s="192"/>
      <c r="H209" s="192"/>
      <c r="I209" s="187"/>
      <c r="J209" s="187"/>
      <c r="K209"/>
    </row>
    <row r="210" spans="1:11" x14ac:dyDescent="0.25">
      <c r="A210" s="192"/>
      <c r="B210" s="195"/>
      <c r="C210" s="192"/>
      <c r="D210" s="192"/>
      <c r="E210" s="192"/>
      <c r="F210" s="192"/>
      <c r="G210" s="192"/>
      <c r="H210" s="192"/>
      <c r="I210" s="187"/>
      <c r="J210" s="187"/>
      <c r="K210"/>
    </row>
    <row r="211" spans="1:11" x14ac:dyDescent="0.25">
      <c r="A211" s="192"/>
      <c r="B211" s="195"/>
      <c r="C211" s="192"/>
      <c r="D211" s="192"/>
      <c r="E211" s="192"/>
      <c r="F211" s="192"/>
      <c r="G211" s="192"/>
      <c r="H211" s="192"/>
      <c r="I211" s="187"/>
      <c r="J211" s="187"/>
      <c r="K211"/>
    </row>
    <row r="212" spans="1:11" x14ac:dyDescent="0.25">
      <c r="A212" s="192"/>
      <c r="B212" s="195"/>
      <c r="C212" s="192"/>
      <c r="D212" s="192"/>
      <c r="E212" s="192"/>
      <c r="F212" s="192"/>
      <c r="G212" s="192"/>
      <c r="H212" s="192"/>
      <c r="I212" s="187"/>
      <c r="J212" s="187"/>
      <c r="K212"/>
    </row>
    <row r="213" spans="1:11" x14ac:dyDescent="0.25">
      <c r="A213" s="192"/>
      <c r="B213" s="195"/>
      <c r="C213" s="192"/>
      <c r="D213" s="192"/>
      <c r="E213" s="192"/>
      <c r="F213" s="192"/>
      <c r="G213" s="192"/>
      <c r="H213" s="192"/>
      <c r="I213" s="187"/>
      <c r="J213" s="187"/>
      <c r="K213"/>
    </row>
    <row r="214" spans="1:11" x14ac:dyDescent="0.25">
      <c r="A214" s="192"/>
      <c r="B214" s="195"/>
      <c r="C214" s="192"/>
      <c r="D214" s="192"/>
      <c r="E214" s="192"/>
      <c r="F214" s="192"/>
      <c r="G214" s="192"/>
      <c r="H214" s="192"/>
      <c r="I214" s="187"/>
      <c r="J214" s="187"/>
      <c r="K214"/>
    </row>
    <row r="215" spans="1:11" x14ac:dyDescent="0.25">
      <c r="A215" s="192"/>
      <c r="B215" s="195"/>
      <c r="C215" s="192"/>
      <c r="D215" s="192"/>
      <c r="E215" s="192"/>
      <c r="F215" s="192"/>
      <c r="G215" s="192"/>
      <c r="H215" s="192"/>
      <c r="I215" s="187"/>
      <c r="J215" s="187"/>
      <c r="K215"/>
    </row>
    <row r="216" spans="1:11" x14ac:dyDescent="0.25">
      <c r="A216" s="192"/>
      <c r="B216" s="195"/>
      <c r="C216" s="192"/>
      <c r="D216" s="192"/>
      <c r="E216" s="192"/>
      <c r="F216" s="192"/>
      <c r="G216" s="192"/>
      <c r="H216" s="192"/>
      <c r="I216" s="187"/>
      <c r="J216" s="187"/>
      <c r="K216"/>
    </row>
    <row r="217" spans="1:11" x14ac:dyDescent="0.25">
      <c r="A217" s="192"/>
      <c r="B217" s="195"/>
      <c r="C217" s="192"/>
      <c r="D217" s="192"/>
      <c r="E217" s="192"/>
      <c r="F217" s="192"/>
      <c r="G217" s="192"/>
      <c r="H217" s="192"/>
      <c r="I217" s="187"/>
      <c r="J217" s="187"/>
      <c r="K217"/>
    </row>
    <row r="218" spans="1:11" x14ac:dyDescent="0.25">
      <c r="A218" s="192"/>
      <c r="B218" s="195"/>
      <c r="C218" s="192"/>
      <c r="D218" s="192"/>
      <c r="E218" s="192"/>
      <c r="F218" s="192"/>
      <c r="G218" s="192"/>
      <c r="H218" s="192"/>
      <c r="I218" s="187"/>
      <c r="J218" s="187"/>
      <c r="K218"/>
    </row>
    <row r="219" spans="1:11" x14ac:dyDescent="0.25">
      <c r="A219" s="192"/>
      <c r="B219" s="195"/>
      <c r="C219" s="192"/>
      <c r="D219" s="192"/>
      <c r="E219" s="192"/>
      <c r="F219" s="192"/>
      <c r="G219" s="192"/>
      <c r="H219" s="192"/>
      <c r="I219" s="187"/>
      <c r="J219" s="187"/>
      <c r="K219"/>
    </row>
    <row r="220" spans="1:11" x14ac:dyDescent="0.25">
      <c r="A220" s="192"/>
      <c r="B220" s="195"/>
      <c r="C220" s="192"/>
      <c r="D220" s="192"/>
      <c r="E220" s="192"/>
      <c r="F220" s="192"/>
      <c r="G220" s="192"/>
      <c r="H220" s="192"/>
      <c r="I220" s="187"/>
      <c r="J220" s="187"/>
      <c r="K220"/>
    </row>
    <row r="221" spans="1:11" x14ac:dyDescent="0.25">
      <c r="A221" s="192"/>
      <c r="B221" s="195"/>
      <c r="C221" s="192"/>
      <c r="D221" s="192"/>
      <c r="E221" s="192"/>
      <c r="F221" s="192"/>
      <c r="G221" s="192"/>
      <c r="H221" s="192"/>
      <c r="I221" s="187"/>
      <c r="J221" s="187"/>
      <c r="K221"/>
    </row>
    <row r="222" spans="1:11" x14ac:dyDescent="0.25">
      <c r="A222" s="192"/>
      <c r="B222" s="195"/>
      <c r="C222" s="192"/>
      <c r="D222" s="192"/>
      <c r="E222" s="192"/>
      <c r="F222" s="192"/>
      <c r="G222" s="192"/>
      <c r="H222" s="192"/>
      <c r="I222" s="187"/>
      <c r="J222" s="187"/>
      <c r="K222"/>
    </row>
    <row r="223" spans="1:11" x14ac:dyDescent="0.25">
      <c r="A223" s="192"/>
      <c r="B223" s="195"/>
      <c r="C223" s="192"/>
      <c r="D223" s="192"/>
      <c r="E223" s="192"/>
      <c r="F223" s="192"/>
      <c r="G223" s="192"/>
      <c r="H223" s="192"/>
      <c r="I223" s="187"/>
      <c r="J223" s="187"/>
      <c r="K223"/>
    </row>
    <row r="224" spans="1:11" x14ac:dyDescent="0.25">
      <c r="A224" s="192"/>
      <c r="B224" s="195"/>
      <c r="C224" s="192"/>
      <c r="D224" s="192"/>
      <c r="E224" s="192"/>
      <c r="F224" s="192"/>
      <c r="G224" s="192"/>
      <c r="H224" s="192"/>
      <c r="I224" s="187"/>
      <c r="J224" s="187"/>
      <c r="K224"/>
    </row>
    <row r="225" spans="1:11" x14ac:dyDescent="0.25">
      <c r="A225" s="192"/>
      <c r="B225" s="195"/>
      <c r="C225" s="192"/>
      <c r="D225" s="192"/>
      <c r="E225" s="192"/>
      <c r="F225" s="192"/>
      <c r="G225" s="192"/>
      <c r="H225" s="192"/>
      <c r="I225" s="187"/>
      <c r="J225" s="187"/>
      <c r="K225"/>
    </row>
    <row r="226" spans="1:11" x14ac:dyDescent="0.25">
      <c r="A226" s="192"/>
      <c r="B226" s="195"/>
      <c r="C226" s="192"/>
      <c r="D226" s="192"/>
      <c r="E226" s="192"/>
      <c r="F226" s="192"/>
      <c r="G226" s="192"/>
      <c r="H226" s="192"/>
      <c r="I226" s="187"/>
      <c r="J226" s="187"/>
      <c r="K226"/>
    </row>
    <row r="227" spans="1:11" x14ac:dyDescent="0.25">
      <c r="A227" s="192"/>
      <c r="B227" s="195"/>
      <c r="C227" s="192"/>
      <c r="D227" s="192"/>
      <c r="E227" s="192"/>
      <c r="F227" s="192"/>
      <c r="G227" s="192"/>
      <c r="H227" s="192"/>
      <c r="I227" s="187"/>
      <c r="J227" s="187"/>
      <c r="K227"/>
    </row>
    <row r="228" spans="1:11" x14ac:dyDescent="0.25">
      <c r="A228" s="192"/>
      <c r="B228" s="195"/>
      <c r="C228" s="192"/>
      <c r="D228" s="192"/>
      <c r="E228" s="192"/>
      <c r="F228" s="192"/>
      <c r="G228" s="192"/>
      <c r="H228" s="192"/>
      <c r="I228" s="187"/>
      <c r="J228" s="187"/>
      <c r="K228"/>
    </row>
    <row r="229" spans="1:11" x14ac:dyDescent="0.25">
      <c r="A229" s="192"/>
      <c r="B229" s="195"/>
      <c r="C229" s="192"/>
      <c r="D229" s="192"/>
      <c r="E229" s="192"/>
      <c r="F229" s="192"/>
      <c r="G229" s="192"/>
      <c r="H229" s="192"/>
      <c r="I229" s="187"/>
      <c r="J229" s="187"/>
      <c r="K229"/>
    </row>
    <row r="230" spans="1:11" x14ac:dyDescent="0.25">
      <c r="A230" s="192"/>
      <c r="B230" s="195"/>
      <c r="C230" s="192"/>
      <c r="D230" s="192"/>
      <c r="E230" s="192"/>
      <c r="F230" s="192"/>
      <c r="G230" s="192"/>
      <c r="H230" s="192"/>
      <c r="I230" s="187"/>
      <c r="J230" s="187"/>
      <c r="K230"/>
    </row>
    <row r="231" spans="1:11" x14ac:dyDescent="0.25">
      <c r="A231" s="192"/>
      <c r="B231" s="195"/>
      <c r="C231" s="192"/>
      <c r="D231" s="192"/>
      <c r="E231" s="192"/>
      <c r="F231" s="192"/>
      <c r="G231" s="192"/>
      <c r="H231" s="192"/>
      <c r="I231" s="187"/>
      <c r="J231" s="187"/>
      <c r="K231"/>
    </row>
    <row r="232" spans="1:11" x14ac:dyDescent="0.25">
      <c r="A232" s="192"/>
      <c r="B232" s="195"/>
      <c r="C232" s="192"/>
      <c r="D232" s="192"/>
      <c r="E232" s="192"/>
      <c r="F232" s="192"/>
      <c r="G232" s="192"/>
      <c r="H232" s="192"/>
      <c r="I232" s="187"/>
      <c r="J232" s="187"/>
      <c r="K232"/>
    </row>
    <row r="233" spans="1:11" x14ac:dyDescent="0.25">
      <c r="A233" s="192"/>
      <c r="B233" s="195"/>
      <c r="C233" s="192"/>
      <c r="D233" s="192"/>
      <c r="E233" s="192"/>
      <c r="F233" s="192"/>
      <c r="G233" s="192"/>
      <c r="H233" s="192"/>
      <c r="I233" s="187"/>
      <c r="J233" s="187"/>
      <c r="K233"/>
    </row>
    <row r="234" spans="1:11" x14ac:dyDescent="0.25">
      <c r="A234" s="192"/>
      <c r="B234" s="195"/>
      <c r="C234" s="192"/>
      <c r="D234" s="192"/>
      <c r="E234" s="192"/>
      <c r="F234" s="192"/>
      <c r="G234" s="192"/>
      <c r="H234" s="192"/>
      <c r="I234" s="187"/>
      <c r="J234" s="187"/>
      <c r="K234"/>
    </row>
    <row r="235" spans="1:11" x14ac:dyDescent="0.25">
      <c r="A235" s="192"/>
      <c r="B235" s="195"/>
      <c r="C235" s="192"/>
      <c r="D235" s="192"/>
      <c r="E235" s="192"/>
      <c r="F235" s="192"/>
      <c r="G235" s="192"/>
      <c r="H235" s="192"/>
      <c r="I235" s="187"/>
      <c r="J235" s="187"/>
      <c r="K235"/>
    </row>
    <row r="236" spans="1:11" x14ac:dyDescent="0.25">
      <c r="A236" s="192"/>
      <c r="B236" s="195"/>
      <c r="C236" s="192"/>
      <c r="D236" s="192"/>
      <c r="E236" s="192"/>
      <c r="F236" s="192"/>
      <c r="G236" s="192"/>
      <c r="H236" s="192"/>
      <c r="I236" s="187"/>
      <c r="J236" s="187"/>
      <c r="K236"/>
    </row>
    <row r="237" spans="1:11" x14ac:dyDescent="0.25">
      <c r="A237" s="192"/>
      <c r="B237" s="195"/>
      <c r="C237" s="192"/>
      <c r="D237" s="192"/>
      <c r="E237" s="192"/>
      <c r="F237" s="192"/>
      <c r="G237" s="192"/>
      <c r="H237" s="192"/>
      <c r="I237" s="187"/>
      <c r="J237" s="187"/>
      <c r="K237"/>
    </row>
    <row r="238" spans="1:11" x14ac:dyDescent="0.25">
      <c r="A238" s="192"/>
      <c r="B238" s="195"/>
      <c r="C238" s="192"/>
      <c r="D238" s="192"/>
      <c r="E238" s="192"/>
      <c r="F238" s="192"/>
      <c r="G238" s="192"/>
      <c r="H238" s="192"/>
      <c r="I238" s="187"/>
      <c r="J238" s="187"/>
      <c r="K238"/>
    </row>
    <row r="239" spans="1:11" x14ac:dyDescent="0.25">
      <c r="A239" s="192"/>
      <c r="B239" s="195"/>
      <c r="C239" s="192"/>
      <c r="D239" s="192"/>
      <c r="E239" s="192"/>
      <c r="F239" s="192"/>
      <c r="G239" s="192"/>
      <c r="H239" s="192"/>
      <c r="I239" s="187"/>
      <c r="J239" s="187"/>
      <c r="K239"/>
    </row>
    <row r="240" spans="1:11" x14ac:dyDescent="0.25">
      <c r="A240" s="192"/>
      <c r="B240" s="195"/>
      <c r="C240" s="192"/>
      <c r="D240" s="192"/>
      <c r="E240" s="192"/>
      <c r="F240" s="192"/>
      <c r="G240" s="192"/>
      <c r="H240" s="192"/>
      <c r="I240" s="187"/>
      <c r="J240" s="187"/>
      <c r="K240"/>
    </row>
    <row r="241" spans="1:11" x14ac:dyDescent="0.25">
      <c r="A241" s="192"/>
      <c r="B241" s="195"/>
      <c r="C241" s="192"/>
      <c r="D241" s="192"/>
      <c r="E241" s="192"/>
      <c r="F241" s="192"/>
      <c r="G241" s="192"/>
      <c r="H241" s="192"/>
      <c r="I241" s="187"/>
      <c r="J241" s="187"/>
      <c r="K241"/>
    </row>
    <row r="242" spans="1:11" x14ac:dyDescent="0.25">
      <c r="A242" s="192"/>
      <c r="B242" s="195"/>
      <c r="C242" s="192"/>
      <c r="D242" s="192"/>
      <c r="E242" s="192"/>
      <c r="F242" s="192"/>
      <c r="G242" s="192"/>
      <c r="H242" s="192"/>
      <c r="I242" s="187"/>
      <c r="J242" s="187"/>
      <c r="K242"/>
    </row>
    <row r="243" spans="1:11" x14ac:dyDescent="0.25">
      <c r="A243" s="192"/>
      <c r="B243" s="195"/>
      <c r="C243" s="192"/>
      <c r="D243" s="192"/>
      <c r="E243" s="192"/>
      <c r="F243" s="192"/>
      <c r="G243" s="192"/>
      <c r="H243" s="192"/>
      <c r="I243" s="187"/>
      <c r="J243" s="187"/>
      <c r="K243"/>
    </row>
    <row r="244" spans="1:11" x14ac:dyDescent="0.25">
      <c r="A244" s="192"/>
      <c r="B244" s="195"/>
      <c r="C244" s="192"/>
      <c r="D244" s="192"/>
      <c r="E244" s="192"/>
      <c r="F244" s="192"/>
      <c r="G244" s="192"/>
      <c r="H244" s="192"/>
      <c r="I244" s="187"/>
      <c r="J244" s="187"/>
      <c r="K244"/>
    </row>
    <row r="245" spans="1:11" x14ac:dyDescent="0.25">
      <c r="A245" s="192"/>
      <c r="B245" s="195"/>
      <c r="C245" s="192"/>
      <c r="D245" s="192"/>
      <c r="E245" s="192"/>
      <c r="F245" s="192"/>
      <c r="G245" s="192"/>
      <c r="H245" s="192"/>
      <c r="I245" s="187"/>
      <c r="J245" s="187"/>
      <c r="K245"/>
    </row>
    <row r="246" spans="1:11" x14ac:dyDescent="0.25">
      <c r="A246" s="192"/>
      <c r="B246" s="195"/>
      <c r="C246" s="192"/>
      <c r="D246" s="192"/>
      <c r="E246" s="192"/>
      <c r="F246" s="192"/>
      <c r="G246" s="192"/>
      <c r="H246" s="192"/>
      <c r="I246" s="187"/>
      <c r="J246" s="187"/>
      <c r="K246"/>
    </row>
    <row r="247" spans="1:11" x14ac:dyDescent="0.25">
      <c r="A247" s="192"/>
      <c r="B247" s="195"/>
      <c r="C247" s="192"/>
      <c r="D247" s="192"/>
      <c r="E247" s="192"/>
      <c r="F247" s="192"/>
      <c r="G247" s="192"/>
      <c r="H247" s="192"/>
      <c r="I247" s="187"/>
      <c r="J247" s="187"/>
      <c r="K247"/>
    </row>
    <row r="248" spans="1:11" x14ac:dyDescent="0.25">
      <c r="A248" s="192"/>
      <c r="B248" s="195"/>
      <c r="C248" s="192"/>
      <c r="D248" s="192"/>
      <c r="E248" s="192"/>
      <c r="F248" s="192"/>
      <c r="G248" s="192"/>
      <c r="H248" s="192"/>
      <c r="I248" s="187"/>
      <c r="J248" s="187"/>
      <c r="K248"/>
    </row>
    <row r="249" spans="1:11" x14ac:dyDescent="0.25">
      <c r="A249" s="192"/>
      <c r="B249" s="195"/>
      <c r="C249" s="192"/>
      <c r="D249" s="192"/>
      <c r="E249" s="192"/>
      <c r="F249" s="192"/>
      <c r="G249" s="192"/>
      <c r="H249" s="192"/>
      <c r="I249" s="187"/>
      <c r="J249" s="187"/>
      <c r="K249"/>
    </row>
    <row r="250" spans="1:11" x14ac:dyDescent="0.25">
      <c r="A250" s="192"/>
      <c r="B250" s="195"/>
      <c r="C250" s="192"/>
      <c r="D250" s="192"/>
      <c r="E250" s="192"/>
      <c r="F250" s="192"/>
      <c r="G250" s="192"/>
      <c r="H250" s="192"/>
      <c r="I250" s="187"/>
      <c r="J250" s="187"/>
      <c r="K250"/>
    </row>
    <row r="251" spans="1:11" x14ac:dyDescent="0.25">
      <c r="A251" s="192"/>
      <c r="B251" s="195"/>
      <c r="C251" s="192"/>
      <c r="D251" s="192"/>
      <c r="E251" s="192"/>
      <c r="F251" s="192"/>
      <c r="G251" s="192"/>
      <c r="H251" s="192"/>
      <c r="I251" s="187"/>
      <c r="J251" s="187"/>
      <c r="K251"/>
    </row>
    <row r="252" spans="1:11" x14ac:dyDescent="0.25">
      <c r="A252" s="192"/>
      <c r="B252" s="195"/>
      <c r="C252" s="192"/>
      <c r="D252" s="192"/>
      <c r="E252" s="192"/>
      <c r="F252" s="192"/>
      <c r="G252" s="192"/>
      <c r="H252" s="192"/>
      <c r="I252" s="187"/>
      <c r="J252" s="187"/>
      <c r="K252"/>
    </row>
    <row r="253" spans="1:11" x14ac:dyDescent="0.25">
      <c r="A253" s="192"/>
      <c r="B253" s="195"/>
      <c r="C253" s="192"/>
      <c r="D253" s="192"/>
      <c r="E253" s="192"/>
      <c r="F253" s="192"/>
      <c r="G253" s="192"/>
      <c r="H253" s="192"/>
      <c r="I253" s="187"/>
      <c r="J253" s="187"/>
      <c r="K253"/>
    </row>
    <row r="254" spans="1:11" x14ac:dyDescent="0.25">
      <c r="A254" s="192"/>
      <c r="B254" s="195"/>
      <c r="C254" s="192"/>
      <c r="D254" s="192"/>
      <c r="E254" s="192"/>
      <c r="F254" s="192"/>
      <c r="G254" s="192"/>
      <c r="H254" s="192"/>
      <c r="I254" s="187"/>
      <c r="J254" s="187"/>
      <c r="K254"/>
    </row>
    <row r="255" spans="1:11" x14ac:dyDescent="0.25">
      <c r="A255" s="192"/>
      <c r="B255" s="195"/>
      <c r="C255" s="192"/>
      <c r="D255" s="192"/>
      <c r="E255" s="192"/>
      <c r="F255" s="192"/>
      <c r="G255" s="192"/>
      <c r="H255" s="192"/>
      <c r="I255" s="187"/>
      <c r="J255" s="187"/>
      <c r="K255"/>
    </row>
    <row r="256" spans="1:11" x14ac:dyDescent="0.25">
      <c r="A256" s="192"/>
      <c r="B256" s="195"/>
      <c r="C256" s="192"/>
      <c r="D256" s="192"/>
      <c r="E256" s="192"/>
      <c r="F256" s="192"/>
      <c r="G256" s="192"/>
      <c r="H256" s="192"/>
      <c r="I256" s="187"/>
      <c r="J256" s="187"/>
      <c r="K256"/>
    </row>
    <row r="257" spans="1:11" x14ac:dyDescent="0.25">
      <c r="A257" s="192"/>
      <c r="B257" s="195"/>
      <c r="C257" s="192"/>
      <c r="D257" s="192"/>
      <c r="E257" s="192"/>
      <c r="F257" s="192"/>
      <c r="G257" s="192"/>
      <c r="H257" s="192"/>
      <c r="I257" s="187"/>
      <c r="J257" s="187"/>
      <c r="K257"/>
    </row>
    <row r="258" spans="1:11" x14ac:dyDescent="0.25">
      <c r="A258" s="192"/>
      <c r="B258" s="195"/>
      <c r="C258" s="192"/>
      <c r="D258" s="192"/>
      <c r="E258" s="192"/>
      <c r="F258" s="192"/>
      <c r="G258" s="192"/>
      <c r="H258" s="192"/>
      <c r="I258" s="187"/>
      <c r="J258" s="187"/>
      <c r="K258"/>
    </row>
    <row r="259" spans="1:11" x14ac:dyDescent="0.25">
      <c r="A259" s="192"/>
      <c r="B259" s="195"/>
      <c r="C259" s="192"/>
      <c r="D259" s="192"/>
      <c r="E259" s="192"/>
      <c r="F259" s="192"/>
      <c r="G259" s="192"/>
      <c r="H259" s="192"/>
      <c r="I259" s="187"/>
      <c r="J259" s="187"/>
      <c r="K259"/>
    </row>
    <row r="260" spans="1:11" x14ac:dyDescent="0.25">
      <c r="A260" s="192"/>
      <c r="B260" s="195"/>
      <c r="C260" s="192"/>
      <c r="D260" s="192"/>
      <c r="E260" s="192"/>
      <c r="F260" s="192"/>
      <c r="G260" s="192"/>
      <c r="H260" s="192"/>
      <c r="I260" s="187"/>
      <c r="J260" s="187"/>
      <c r="K260"/>
    </row>
    <row r="261" spans="1:11" x14ac:dyDescent="0.25">
      <c r="A261" s="192"/>
      <c r="B261" s="195"/>
      <c r="C261" s="192"/>
      <c r="D261" s="192"/>
      <c r="E261" s="192"/>
      <c r="F261" s="192"/>
      <c r="G261" s="192"/>
      <c r="H261" s="192"/>
      <c r="I261" s="187"/>
      <c r="J261" s="187"/>
      <c r="K261"/>
    </row>
    <row r="262" spans="1:11" x14ac:dyDescent="0.25">
      <c r="A262" s="192"/>
      <c r="B262" s="195"/>
      <c r="C262" s="192"/>
      <c r="D262" s="192"/>
      <c r="E262" s="192"/>
      <c r="F262" s="192"/>
      <c r="G262" s="192"/>
      <c r="H262" s="192"/>
      <c r="I262" s="187"/>
      <c r="J262" s="187"/>
      <c r="K262"/>
    </row>
    <row r="263" spans="1:11" x14ac:dyDescent="0.25">
      <c r="A263" s="192"/>
      <c r="B263" s="195"/>
      <c r="C263" s="192"/>
      <c r="D263" s="192"/>
      <c r="E263" s="192"/>
      <c r="F263" s="192"/>
      <c r="G263" s="192"/>
      <c r="H263" s="192"/>
      <c r="I263" s="187"/>
      <c r="J263" s="187"/>
      <c r="K263"/>
    </row>
    <row r="264" spans="1:11" x14ac:dyDescent="0.25">
      <c r="A264" s="192"/>
      <c r="B264" s="195"/>
      <c r="C264" s="192"/>
      <c r="D264" s="192"/>
      <c r="E264" s="192"/>
      <c r="F264" s="192"/>
      <c r="G264" s="192"/>
      <c r="H264" s="192"/>
      <c r="I264" s="187"/>
      <c r="J264" s="187"/>
      <c r="K264"/>
    </row>
    <row r="265" spans="1:11" x14ac:dyDescent="0.25">
      <c r="A265" s="192"/>
      <c r="B265" s="195"/>
      <c r="C265" s="192"/>
      <c r="D265" s="192"/>
      <c r="E265" s="192"/>
      <c r="F265" s="192"/>
      <c r="G265" s="192"/>
      <c r="H265" s="192"/>
      <c r="I265" s="187"/>
      <c r="J265" s="187"/>
      <c r="K265"/>
    </row>
    <row r="266" spans="1:11" x14ac:dyDescent="0.25">
      <c r="A266" s="192"/>
      <c r="B266" s="195"/>
      <c r="C266" s="192"/>
      <c r="D266" s="192"/>
      <c r="E266" s="192"/>
      <c r="F266" s="192"/>
      <c r="G266" s="192"/>
      <c r="H266" s="192"/>
      <c r="I266" s="187"/>
      <c r="J266" s="187"/>
      <c r="K266"/>
    </row>
    <row r="267" spans="1:11" x14ac:dyDescent="0.25">
      <c r="A267" s="192"/>
      <c r="B267" s="195"/>
      <c r="C267" s="192"/>
      <c r="D267" s="192"/>
      <c r="E267" s="192"/>
      <c r="F267" s="192"/>
      <c r="G267" s="192"/>
      <c r="H267" s="192"/>
      <c r="I267" s="187"/>
      <c r="J267" s="187"/>
      <c r="K267"/>
    </row>
    <row r="268" spans="1:11" x14ac:dyDescent="0.25">
      <c r="A268" s="192"/>
      <c r="B268" s="195"/>
      <c r="C268" s="192"/>
      <c r="D268" s="192"/>
      <c r="E268" s="192"/>
      <c r="F268" s="192"/>
      <c r="G268" s="192"/>
      <c r="H268" s="192"/>
      <c r="I268" s="187"/>
      <c r="J268" s="187"/>
      <c r="K268"/>
    </row>
    <row r="269" spans="1:11" x14ac:dyDescent="0.25">
      <c r="A269" s="192"/>
      <c r="B269" s="195"/>
      <c r="C269" s="192"/>
      <c r="D269" s="192"/>
      <c r="E269" s="192"/>
      <c r="F269" s="192"/>
      <c r="G269" s="192"/>
      <c r="H269" s="192"/>
      <c r="I269" s="187"/>
      <c r="J269" s="187"/>
      <c r="K269"/>
    </row>
    <row r="270" spans="1:11" x14ac:dyDescent="0.25">
      <c r="A270" s="192"/>
      <c r="B270" s="195"/>
      <c r="C270" s="192"/>
      <c r="D270" s="192"/>
      <c r="E270" s="192"/>
      <c r="F270" s="192"/>
      <c r="G270" s="192"/>
      <c r="H270" s="192"/>
      <c r="I270" s="187"/>
      <c r="J270" s="187"/>
      <c r="K270"/>
    </row>
    <row r="271" spans="1:11" x14ac:dyDescent="0.25">
      <c r="A271" s="192"/>
      <c r="B271" s="195"/>
      <c r="C271" s="192"/>
      <c r="D271" s="192"/>
      <c r="E271" s="192"/>
      <c r="F271" s="192"/>
      <c r="G271" s="192"/>
      <c r="H271" s="192"/>
      <c r="I271" s="187"/>
      <c r="J271" s="187"/>
      <c r="K271"/>
    </row>
    <row r="272" spans="1:11" x14ac:dyDescent="0.25">
      <c r="A272" s="192"/>
      <c r="B272" s="195"/>
      <c r="C272" s="192"/>
      <c r="D272" s="192"/>
      <c r="E272" s="192"/>
      <c r="F272" s="192"/>
      <c r="G272" s="192"/>
      <c r="H272" s="192"/>
      <c r="I272" s="187"/>
      <c r="J272" s="187"/>
      <c r="K272"/>
    </row>
    <row r="273" spans="1:11" x14ac:dyDescent="0.25">
      <c r="A273" s="192"/>
      <c r="B273" s="195"/>
      <c r="C273" s="192"/>
      <c r="D273" s="192"/>
      <c r="E273" s="192"/>
      <c r="F273" s="192"/>
      <c r="G273" s="192"/>
      <c r="H273" s="192"/>
      <c r="I273" s="187"/>
      <c r="J273" s="187"/>
      <c r="K273"/>
    </row>
    <row r="274" spans="1:11" x14ac:dyDescent="0.25">
      <c r="A274" s="192"/>
      <c r="B274" s="195"/>
      <c r="C274" s="192"/>
      <c r="D274" s="192"/>
      <c r="E274" s="192"/>
      <c r="F274" s="192"/>
      <c r="G274" s="192"/>
      <c r="H274" s="192"/>
      <c r="I274" s="187"/>
      <c r="J274" s="187"/>
      <c r="K274"/>
    </row>
    <row r="275" spans="1:11" x14ac:dyDescent="0.25">
      <c r="A275" s="192"/>
      <c r="B275" s="195"/>
      <c r="C275" s="192"/>
      <c r="D275" s="192"/>
      <c r="E275" s="192"/>
      <c r="F275" s="192"/>
      <c r="G275" s="192"/>
      <c r="H275" s="192"/>
      <c r="I275" s="187"/>
      <c r="J275" s="187"/>
      <c r="K275"/>
    </row>
    <row r="276" spans="1:11" x14ac:dyDescent="0.25">
      <c r="A276" s="192"/>
      <c r="B276" s="195"/>
      <c r="C276" s="192"/>
      <c r="D276" s="192"/>
      <c r="E276" s="192"/>
      <c r="F276" s="192"/>
      <c r="G276" s="192"/>
      <c r="H276" s="192"/>
      <c r="I276" s="187"/>
      <c r="J276" s="187"/>
      <c r="K276"/>
    </row>
    <row r="277" spans="1:11" x14ac:dyDescent="0.25">
      <c r="A277" s="192"/>
      <c r="B277" s="195"/>
      <c r="C277" s="192"/>
      <c r="D277" s="192"/>
      <c r="E277" s="192"/>
      <c r="F277" s="192"/>
      <c r="G277" s="192"/>
      <c r="H277" s="192"/>
      <c r="I277" s="187"/>
      <c r="J277" s="187"/>
      <c r="K277"/>
    </row>
    <row r="278" spans="1:11" x14ac:dyDescent="0.25">
      <c r="A278" s="192"/>
      <c r="B278" s="195"/>
      <c r="C278" s="192"/>
      <c r="D278" s="192"/>
      <c r="E278" s="192"/>
      <c r="F278" s="192"/>
      <c r="G278" s="192"/>
      <c r="H278" s="192"/>
      <c r="I278" s="187"/>
      <c r="J278" s="187"/>
      <c r="K278"/>
    </row>
    <row r="279" spans="1:11" x14ac:dyDescent="0.25">
      <c r="A279" s="192"/>
      <c r="B279" s="195"/>
      <c r="C279" s="192"/>
      <c r="D279" s="192"/>
      <c r="E279" s="192"/>
      <c r="F279" s="192"/>
      <c r="G279" s="192"/>
      <c r="H279" s="192"/>
      <c r="I279" s="187"/>
      <c r="J279" s="187"/>
      <c r="K279"/>
    </row>
    <row r="280" spans="1:11" x14ac:dyDescent="0.25">
      <c r="A280" s="192"/>
      <c r="B280" s="195"/>
      <c r="C280" s="192"/>
      <c r="D280" s="192"/>
      <c r="E280" s="192"/>
      <c r="F280" s="192"/>
      <c r="G280" s="192"/>
      <c r="H280" s="192"/>
      <c r="I280" s="187"/>
      <c r="J280" s="187"/>
      <c r="K280"/>
    </row>
    <row r="281" spans="1:11" x14ac:dyDescent="0.25">
      <c r="A281" s="192"/>
      <c r="B281" s="195"/>
      <c r="C281" s="192"/>
      <c r="D281" s="192"/>
      <c r="E281" s="192"/>
      <c r="F281" s="192"/>
      <c r="G281" s="192"/>
      <c r="H281" s="192"/>
      <c r="I281" s="187"/>
      <c r="J281" s="187"/>
      <c r="K281"/>
    </row>
    <row r="282" spans="1:11" x14ac:dyDescent="0.25">
      <c r="A282" s="192"/>
      <c r="B282" s="195"/>
      <c r="C282" s="192"/>
      <c r="D282" s="192"/>
      <c r="E282" s="192"/>
      <c r="F282" s="192"/>
      <c r="G282" s="192"/>
      <c r="H282" s="192"/>
      <c r="I282" s="187"/>
      <c r="J282" s="187"/>
      <c r="K282"/>
    </row>
    <row r="283" spans="1:11" x14ac:dyDescent="0.25">
      <c r="A283" s="192"/>
      <c r="B283" s="195"/>
      <c r="C283" s="192"/>
      <c r="D283" s="192"/>
      <c r="E283" s="192"/>
      <c r="F283" s="192"/>
      <c r="G283" s="192"/>
      <c r="H283" s="192"/>
      <c r="I283" s="187"/>
      <c r="J283" s="187"/>
      <c r="K283"/>
    </row>
    <row r="284" spans="1:11" x14ac:dyDescent="0.25">
      <c r="A284" s="192"/>
      <c r="B284" s="195"/>
      <c r="C284" s="192"/>
      <c r="D284" s="192"/>
      <c r="E284" s="192"/>
      <c r="F284" s="192"/>
      <c r="G284" s="192"/>
      <c r="H284" s="192"/>
      <c r="I284" s="187"/>
      <c r="J284" s="187"/>
      <c r="K284"/>
    </row>
    <row r="285" spans="1:11" x14ac:dyDescent="0.25">
      <c r="A285" s="192"/>
      <c r="B285" s="195"/>
      <c r="C285" s="192"/>
      <c r="D285" s="192"/>
      <c r="E285" s="192"/>
      <c r="F285" s="192"/>
      <c r="G285" s="192"/>
      <c r="H285" s="192"/>
      <c r="I285" s="187"/>
      <c r="J285" s="187"/>
      <c r="K285"/>
    </row>
    <row r="286" spans="1:11" x14ac:dyDescent="0.25">
      <c r="A286" s="192"/>
      <c r="B286" s="195"/>
      <c r="C286" s="192"/>
      <c r="D286" s="192"/>
      <c r="E286" s="192"/>
      <c r="F286" s="192"/>
      <c r="G286" s="192"/>
      <c r="H286" s="192"/>
      <c r="I286" s="187"/>
      <c r="J286" s="187"/>
      <c r="K286"/>
    </row>
    <row r="287" spans="1:11" x14ac:dyDescent="0.25">
      <c r="A287" s="192"/>
      <c r="B287" s="195"/>
      <c r="C287" s="192"/>
      <c r="D287" s="192"/>
      <c r="E287" s="192"/>
      <c r="F287" s="192"/>
      <c r="G287" s="192"/>
      <c r="H287" s="192"/>
      <c r="I287" s="187"/>
      <c r="J287" s="187"/>
      <c r="K287"/>
    </row>
    <row r="288" spans="1:11" x14ac:dyDescent="0.25">
      <c r="A288" s="192"/>
      <c r="B288" s="195"/>
      <c r="C288" s="192"/>
      <c r="D288" s="192"/>
      <c r="E288" s="192"/>
      <c r="F288" s="192"/>
      <c r="G288" s="192"/>
      <c r="H288" s="192"/>
      <c r="I288" s="187"/>
      <c r="J288" s="187"/>
      <c r="K288"/>
    </row>
    <row r="289" spans="1:11" x14ac:dyDescent="0.25">
      <c r="A289" s="192"/>
      <c r="B289" s="195"/>
      <c r="C289" s="192"/>
      <c r="D289" s="192"/>
      <c r="E289" s="192"/>
      <c r="F289" s="192"/>
      <c r="G289" s="192"/>
      <c r="H289" s="192"/>
      <c r="I289" s="187"/>
      <c r="J289" s="187"/>
      <c r="K289"/>
    </row>
    <row r="290" spans="1:11" x14ac:dyDescent="0.25">
      <c r="A290" s="192"/>
      <c r="B290" s="195"/>
      <c r="C290" s="192"/>
      <c r="D290" s="192"/>
      <c r="E290" s="192"/>
      <c r="F290" s="192"/>
      <c r="G290" s="192"/>
      <c r="H290" s="192"/>
      <c r="I290" s="187"/>
      <c r="J290" s="187"/>
      <c r="K290"/>
    </row>
    <row r="291" spans="1:11" x14ac:dyDescent="0.25">
      <c r="A291" s="192"/>
      <c r="B291" s="195"/>
      <c r="C291" s="192"/>
      <c r="D291" s="192"/>
      <c r="E291" s="192"/>
      <c r="F291" s="192"/>
      <c r="G291" s="192"/>
      <c r="H291" s="192"/>
      <c r="I291" s="187"/>
      <c r="J291" s="187"/>
      <c r="K291"/>
    </row>
    <row r="292" spans="1:11" x14ac:dyDescent="0.25">
      <c r="A292" s="192"/>
      <c r="B292" s="195"/>
      <c r="C292" s="192"/>
      <c r="D292" s="192"/>
      <c r="E292" s="192"/>
      <c r="F292" s="192"/>
      <c r="G292" s="192"/>
      <c r="H292" s="192"/>
      <c r="I292" s="187"/>
      <c r="J292" s="187"/>
      <c r="K292"/>
    </row>
    <row r="293" spans="1:11" x14ac:dyDescent="0.25">
      <c r="A293" s="192"/>
      <c r="B293" s="195"/>
      <c r="C293" s="192"/>
      <c r="D293" s="192"/>
      <c r="E293" s="192"/>
      <c r="F293" s="192"/>
      <c r="G293" s="192"/>
      <c r="H293" s="192"/>
      <c r="I293" s="187"/>
      <c r="J293" s="187"/>
      <c r="K293"/>
    </row>
    <row r="294" spans="1:11" x14ac:dyDescent="0.25">
      <c r="A294" s="192"/>
      <c r="B294" s="195"/>
      <c r="C294" s="192"/>
      <c r="D294" s="192"/>
      <c r="E294" s="192"/>
      <c r="F294" s="192"/>
      <c r="G294" s="192"/>
      <c r="H294" s="192"/>
      <c r="I294" s="187"/>
      <c r="J294" s="187"/>
      <c r="K294"/>
    </row>
    <row r="295" spans="1:11" x14ac:dyDescent="0.25">
      <c r="A295" s="192"/>
      <c r="B295" s="195"/>
      <c r="C295" s="192"/>
      <c r="D295" s="192"/>
      <c r="E295" s="192"/>
      <c r="F295" s="192"/>
      <c r="G295" s="192"/>
      <c r="H295" s="192"/>
      <c r="I295" s="187"/>
      <c r="J295" s="187"/>
      <c r="K295"/>
    </row>
    <row r="296" spans="1:11" x14ac:dyDescent="0.25">
      <c r="A296" s="192"/>
      <c r="B296" s="195"/>
      <c r="C296" s="192"/>
      <c r="D296" s="192"/>
      <c r="E296" s="192"/>
      <c r="F296" s="192"/>
      <c r="G296" s="192"/>
      <c r="H296" s="192"/>
      <c r="I296" s="187"/>
      <c r="J296" s="187"/>
      <c r="K296"/>
    </row>
    <row r="297" spans="1:11" x14ac:dyDescent="0.25">
      <c r="A297" s="192"/>
      <c r="B297" s="195"/>
      <c r="C297" s="192"/>
      <c r="D297" s="192"/>
      <c r="E297" s="192"/>
      <c r="F297" s="192"/>
      <c r="G297" s="192"/>
      <c r="H297" s="192"/>
      <c r="I297" s="187"/>
      <c r="J297" s="187"/>
      <c r="K297"/>
    </row>
    <row r="298" spans="1:11" x14ac:dyDescent="0.25">
      <c r="A298" s="192"/>
      <c r="B298" s="195"/>
      <c r="C298" s="192"/>
      <c r="D298" s="192"/>
      <c r="E298" s="192"/>
      <c r="F298" s="192"/>
      <c r="G298" s="192"/>
      <c r="H298" s="192"/>
      <c r="I298" s="187"/>
      <c r="J298" s="187"/>
      <c r="K298"/>
    </row>
    <row r="299" spans="1:11" x14ac:dyDescent="0.25">
      <c r="A299" s="192"/>
      <c r="B299" s="195"/>
      <c r="C299" s="192"/>
      <c r="D299" s="192"/>
      <c r="E299" s="192"/>
      <c r="F299" s="192"/>
      <c r="G299" s="192"/>
      <c r="H299" s="192"/>
      <c r="I299" s="187"/>
      <c r="J299" s="187"/>
      <c r="K299"/>
    </row>
    <row r="300" spans="1:11" x14ac:dyDescent="0.25">
      <c r="A300" s="192"/>
      <c r="B300" s="195"/>
      <c r="C300" s="192"/>
      <c r="D300" s="192"/>
      <c r="E300" s="192"/>
      <c r="F300" s="192"/>
      <c r="G300" s="192"/>
      <c r="H300" s="192"/>
      <c r="I300" s="187"/>
      <c r="J300" s="187"/>
      <c r="K300"/>
    </row>
    <row r="301" spans="1:11" x14ac:dyDescent="0.25">
      <c r="A301" s="192"/>
      <c r="B301" s="195"/>
      <c r="C301" s="192"/>
      <c r="D301" s="192"/>
      <c r="E301" s="192"/>
      <c r="F301" s="192"/>
      <c r="G301" s="192"/>
      <c r="H301" s="192"/>
      <c r="I301" s="187"/>
      <c r="J301" s="187"/>
      <c r="K301"/>
    </row>
    <row r="302" spans="1:11" x14ac:dyDescent="0.25">
      <c r="A302" s="192"/>
      <c r="B302" s="195"/>
      <c r="C302" s="192"/>
      <c r="D302" s="192"/>
      <c r="E302" s="192"/>
      <c r="F302" s="192"/>
      <c r="G302" s="192"/>
      <c r="H302" s="192"/>
      <c r="I302" s="187"/>
      <c r="J302" s="187"/>
      <c r="K302"/>
    </row>
    <row r="303" spans="1:11" x14ac:dyDescent="0.25">
      <c r="A303" s="192"/>
      <c r="B303" s="195"/>
      <c r="C303" s="192"/>
      <c r="D303" s="192"/>
      <c r="E303" s="192"/>
      <c r="F303" s="192"/>
      <c r="G303" s="192"/>
      <c r="H303" s="192"/>
      <c r="I303" s="187"/>
      <c r="J303" s="187"/>
      <c r="K303"/>
    </row>
    <row r="304" spans="1:11" x14ac:dyDescent="0.25">
      <c r="A304" s="192"/>
      <c r="B304" s="195"/>
      <c r="C304" s="192"/>
      <c r="D304" s="192"/>
      <c r="E304" s="192"/>
      <c r="F304" s="192"/>
      <c r="G304" s="192"/>
      <c r="H304" s="192"/>
      <c r="I304" s="187"/>
      <c r="J304" s="187"/>
      <c r="K304"/>
    </row>
    <row r="305" spans="1:11" x14ac:dyDescent="0.25">
      <c r="A305" s="192"/>
      <c r="B305" s="195"/>
      <c r="C305" s="192"/>
      <c r="D305" s="192"/>
      <c r="E305" s="192"/>
      <c r="F305" s="192"/>
      <c r="G305" s="192"/>
      <c r="H305" s="192"/>
      <c r="I305" s="187"/>
      <c r="J305" s="187"/>
      <c r="K305"/>
    </row>
    <row r="306" spans="1:11" x14ac:dyDescent="0.25">
      <c r="A306" s="192"/>
      <c r="B306" s="195"/>
      <c r="C306" s="192"/>
      <c r="D306" s="192"/>
      <c r="E306" s="192"/>
      <c r="F306" s="192"/>
      <c r="G306" s="192"/>
      <c r="H306" s="192"/>
      <c r="I306" s="187"/>
      <c r="J306" s="187"/>
      <c r="K306"/>
    </row>
    <row r="307" spans="1:11" x14ac:dyDescent="0.25">
      <c r="A307" s="192"/>
      <c r="B307" s="195"/>
      <c r="C307" s="192"/>
      <c r="D307" s="192"/>
      <c r="E307" s="192"/>
      <c r="F307" s="192"/>
      <c r="G307" s="192"/>
      <c r="H307" s="192"/>
      <c r="I307" s="187"/>
      <c r="J307" s="187"/>
      <c r="K307"/>
    </row>
    <row r="308" spans="1:11" x14ac:dyDescent="0.25">
      <c r="A308" s="192"/>
      <c r="B308" s="195"/>
      <c r="C308" s="192"/>
      <c r="D308" s="192"/>
      <c r="E308" s="192"/>
      <c r="F308" s="192"/>
      <c r="G308" s="192"/>
      <c r="H308" s="192"/>
      <c r="I308" s="187"/>
      <c r="J308" s="187"/>
      <c r="K308"/>
    </row>
    <row r="309" spans="1:11" x14ac:dyDescent="0.25">
      <c r="A309" s="192"/>
      <c r="B309" s="195"/>
      <c r="C309" s="192"/>
      <c r="D309" s="192"/>
      <c r="E309" s="192"/>
      <c r="F309" s="192"/>
      <c r="G309" s="192"/>
      <c r="H309" s="192"/>
      <c r="I309" s="187"/>
      <c r="J309" s="187"/>
      <c r="K309"/>
    </row>
    <row r="310" spans="1:11" x14ac:dyDescent="0.25">
      <c r="A310" s="192"/>
      <c r="B310" s="195"/>
      <c r="C310" s="192"/>
      <c r="D310" s="192"/>
      <c r="E310" s="192"/>
      <c r="F310" s="192"/>
      <c r="G310" s="192"/>
      <c r="H310" s="192"/>
      <c r="I310" s="187"/>
      <c r="J310" s="187"/>
      <c r="K310"/>
    </row>
    <row r="311" spans="1:11" x14ac:dyDescent="0.25">
      <c r="A311" s="192"/>
      <c r="B311" s="195"/>
      <c r="C311" s="192"/>
      <c r="D311" s="192"/>
      <c r="E311" s="192"/>
      <c r="F311" s="192"/>
      <c r="G311" s="192"/>
      <c r="H311" s="192"/>
      <c r="I311" s="187"/>
      <c r="J311" s="187"/>
      <c r="K311"/>
    </row>
    <row r="312" spans="1:11" x14ac:dyDescent="0.25">
      <c r="A312" s="192"/>
      <c r="B312" s="195"/>
      <c r="C312" s="192"/>
      <c r="D312" s="192"/>
      <c r="E312" s="192"/>
      <c r="F312" s="192"/>
      <c r="G312" s="192"/>
      <c r="H312" s="192"/>
      <c r="I312" s="187"/>
      <c r="J312" s="187"/>
      <c r="K312"/>
    </row>
    <row r="313" spans="1:11" x14ac:dyDescent="0.25">
      <c r="A313" s="192"/>
      <c r="B313" s="195"/>
      <c r="C313" s="192"/>
      <c r="D313" s="192"/>
      <c r="E313" s="192"/>
      <c r="F313" s="192"/>
      <c r="G313" s="192"/>
      <c r="H313" s="192"/>
      <c r="I313" s="187"/>
      <c r="J313" s="187"/>
      <c r="K313"/>
    </row>
    <row r="314" spans="1:11" x14ac:dyDescent="0.25">
      <c r="A314" s="192"/>
      <c r="B314" s="195"/>
      <c r="C314" s="192"/>
      <c r="D314" s="192"/>
      <c r="E314" s="192"/>
      <c r="F314" s="192"/>
      <c r="G314" s="192"/>
      <c r="H314" s="192"/>
      <c r="I314" s="187"/>
      <c r="J314" s="187"/>
      <c r="K314"/>
    </row>
    <row r="315" spans="1:11" x14ac:dyDescent="0.25">
      <c r="A315" s="192"/>
      <c r="B315" s="195"/>
      <c r="C315" s="192"/>
      <c r="D315" s="192"/>
      <c r="E315" s="192"/>
      <c r="F315" s="192"/>
      <c r="G315" s="192"/>
      <c r="H315" s="192"/>
      <c r="I315" s="187"/>
      <c r="J315" s="187"/>
      <c r="K315"/>
    </row>
    <row r="316" spans="1:11" x14ac:dyDescent="0.25">
      <c r="A316" s="192"/>
      <c r="B316" s="195"/>
      <c r="C316" s="192"/>
      <c r="D316" s="192"/>
      <c r="E316" s="192"/>
      <c r="F316" s="192"/>
      <c r="G316" s="192"/>
      <c r="H316" s="192"/>
      <c r="I316" s="187"/>
      <c r="J316" s="187"/>
      <c r="K316"/>
    </row>
    <row r="317" spans="1:11" x14ac:dyDescent="0.25">
      <c r="A317" s="192"/>
      <c r="B317" s="195"/>
      <c r="C317" s="192"/>
      <c r="D317" s="192"/>
      <c r="E317" s="192"/>
      <c r="F317" s="192"/>
      <c r="G317" s="192"/>
      <c r="H317" s="192"/>
      <c r="I317" s="187"/>
      <c r="J317" s="187"/>
      <c r="K317"/>
    </row>
    <row r="318" spans="1:11" x14ac:dyDescent="0.25">
      <c r="A318" s="192"/>
      <c r="B318" s="195"/>
      <c r="C318" s="192"/>
      <c r="D318" s="192"/>
      <c r="E318" s="192"/>
      <c r="F318" s="192"/>
      <c r="G318" s="192"/>
      <c r="H318" s="192"/>
      <c r="I318" s="187"/>
      <c r="J318" s="187"/>
      <c r="K318"/>
    </row>
    <row r="319" spans="1:11" x14ac:dyDescent="0.25">
      <c r="A319" s="192"/>
      <c r="B319" s="195"/>
      <c r="C319" s="192"/>
      <c r="D319" s="192"/>
      <c r="E319" s="192"/>
      <c r="F319" s="192"/>
      <c r="G319" s="192"/>
      <c r="H319" s="192"/>
      <c r="I319" s="187"/>
      <c r="J319" s="187"/>
      <c r="K319"/>
    </row>
    <row r="320" spans="1:11" x14ac:dyDescent="0.25">
      <c r="A320" s="192"/>
      <c r="B320" s="195"/>
      <c r="C320" s="192"/>
      <c r="D320" s="192"/>
      <c r="E320" s="192"/>
      <c r="F320" s="192"/>
      <c r="G320" s="192"/>
      <c r="H320" s="192"/>
      <c r="I320" s="187"/>
      <c r="J320" s="187"/>
      <c r="K320"/>
    </row>
    <row r="321" spans="1:11" x14ac:dyDescent="0.25">
      <c r="A321" s="192"/>
      <c r="B321" s="195"/>
      <c r="C321" s="192"/>
      <c r="D321" s="192"/>
      <c r="E321" s="192"/>
      <c r="F321" s="192"/>
      <c r="G321" s="192"/>
      <c r="H321" s="192"/>
      <c r="I321" s="187"/>
      <c r="J321" s="187"/>
      <c r="K321"/>
    </row>
    <row r="322" spans="1:11" x14ac:dyDescent="0.25">
      <c r="A322" s="192"/>
      <c r="B322" s="195"/>
      <c r="C322" s="192"/>
      <c r="D322" s="192"/>
      <c r="E322" s="192"/>
      <c r="F322" s="192"/>
      <c r="G322" s="192"/>
      <c r="H322" s="192"/>
      <c r="I322" s="187"/>
      <c r="J322" s="187"/>
      <c r="K322"/>
    </row>
    <row r="323" spans="1:11" x14ac:dyDescent="0.25">
      <c r="A323" s="192"/>
      <c r="B323" s="195"/>
      <c r="C323" s="192"/>
      <c r="D323" s="192"/>
      <c r="E323" s="192"/>
      <c r="F323" s="192"/>
      <c r="G323" s="192"/>
      <c r="H323" s="192"/>
      <c r="I323" s="187"/>
      <c r="J323" s="187"/>
      <c r="K323"/>
    </row>
    <row r="324" spans="1:11" x14ac:dyDescent="0.25">
      <c r="A324" s="192"/>
      <c r="B324" s="195"/>
      <c r="C324" s="192"/>
      <c r="D324" s="192"/>
      <c r="E324" s="192"/>
      <c r="F324" s="192"/>
      <c r="G324" s="192"/>
      <c r="H324" s="192"/>
      <c r="I324" s="187"/>
      <c r="J324" s="187"/>
      <c r="K324"/>
    </row>
    <row r="325" spans="1:11" x14ac:dyDescent="0.25">
      <c r="A325" s="192"/>
      <c r="B325" s="195"/>
      <c r="C325" s="192"/>
      <c r="D325" s="192"/>
      <c r="E325" s="192"/>
      <c r="F325" s="192"/>
      <c r="G325" s="192"/>
      <c r="H325" s="192"/>
      <c r="I325" s="187"/>
      <c r="J325" s="187"/>
      <c r="K325"/>
    </row>
    <row r="326" spans="1:11" x14ac:dyDescent="0.25">
      <c r="A326" s="192"/>
      <c r="B326" s="195"/>
      <c r="C326" s="192"/>
      <c r="D326" s="192"/>
      <c r="E326" s="192"/>
      <c r="F326" s="192"/>
      <c r="G326" s="192"/>
      <c r="H326" s="192"/>
      <c r="I326" s="187"/>
      <c r="J326" s="187"/>
      <c r="K326"/>
    </row>
    <row r="327" spans="1:11" x14ac:dyDescent="0.25">
      <c r="A327" s="192"/>
      <c r="B327" s="195"/>
      <c r="C327" s="192"/>
      <c r="D327" s="192"/>
      <c r="E327" s="192"/>
      <c r="F327" s="192"/>
      <c r="G327" s="192"/>
      <c r="H327" s="192"/>
      <c r="I327" s="187"/>
      <c r="J327" s="187"/>
      <c r="K327"/>
    </row>
    <row r="328" spans="1:11" x14ac:dyDescent="0.25">
      <c r="A328" s="192"/>
      <c r="B328" s="195"/>
      <c r="C328" s="192"/>
      <c r="D328" s="192"/>
      <c r="E328" s="192"/>
      <c r="F328" s="192"/>
      <c r="G328" s="192"/>
      <c r="H328" s="192"/>
      <c r="I328" s="187"/>
      <c r="J328" s="187"/>
      <c r="K328"/>
    </row>
    <row r="329" spans="1:11" x14ac:dyDescent="0.25">
      <c r="A329" s="192"/>
      <c r="B329" s="195"/>
      <c r="C329" s="192"/>
      <c r="D329" s="192"/>
      <c r="E329" s="192"/>
      <c r="F329" s="192"/>
      <c r="G329" s="192"/>
      <c r="H329" s="192"/>
      <c r="I329" s="187"/>
      <c r="J329" s="187"/>
      <c r="K329"/>
    </row>
    <row r="330" spans="1:11" x14ac:dyDescent="0.25">
      <c r="A330" s="192"/>
      <c r="B330" s="195"/>
      <c r="C330" s="192"/>
      <c r="D330" s="192"/>
      <c r="E330" s="192"/>
      <c r="F330" s="192"/>
      <c r="G330" s="192"/>
      <c r="H330" s="192"/>
      <c r="I330" s="187"/>
      <c r="J330" s="187"/>
      <c r="K330"/>
    </row>
    <row r="331" spans="1:11" x14ac:dyDescent="0.25">
      <c r="A331" s="192"/>
      <c r="B331" s="195"/>
      <c r="C331" s="192"/>
      <c r="D331" s="192"/>
      <c r="E331" s="192"/>
      <c r="F331" s="192"/>
      <c r="G331" s="192"/>
      <c r="H331" s="192"/>
      <c r="I331" s="187"/>
      <c r="J331" s="187"/>
      <c r="K331"/>
    </row>
    <row r="332" spans="1:11" x14ac:dyDescent="0.25">
      <c r="A332" s="192"/>
      <c r="B332" s="195"/>
      <c r="C332" s="192"/>
      <c r="D332" s="192"/>
      <c r="E332" s="192"/>
      <c r="F332" s="192"/>
      <c r="G332" s="192"/>
      <c r="H332" s="192"/>
      <c r="I332" s="187"/>
      <c r="J332" s="187"/>
      <c r="K332"/>
    </row>
    <row r="333" spans="1:11" x14ac:dyDescent="0.25">
      <c r="A333" s="192"/>
      <c r="B333" s="195"/>
      <c r="C333" s="192"/>
      <c r="D333" s="192"/>
      <c r="E333" s="192"/>
      <c r="F333" s="192"/>
      <c r="G333" s="192"/>
      <c r="H333" s="192"/>
      <c r="I333" s="187"/>
      <c r="J333" s="187"/>
      <c r="K333"/>
    </row>
    <row r="334" spans="1:11" x14ac:dyDescent="0.25">
      <c r="A334" s="192"/>
      <c r="B334" s="195"/>
      <c r="C334" s="192"/>
      <c r="D334" s="192"/>
      <c r="E334" s="192"/>
      <c r="F334" s="192"/>
      <c r="G334" s="192"/>
      <c r="H334" s="192"/>
      <c r="I334" s="187"/>
      <c r="J334" s="187"/>
      <c r="K334"/>
    </row>
    <row r="335" spans="1:11" x14ac:dyDescent="0.25">
      <c r="A335" s="192"/>
      <c r="B335" s="195"/>
      <c r="C335" s="192"/>
      <c r="D335" s="192"/>
      <c r="E335" s="192"/>
      <c r="F335" s="192"/>
      <c r="G335" s="192"/>
      <c r="H335" s="192"/>
      <c r="I335" s="187"/>
      <c r="J335" s="187"/>
      <c r="K335"/>
    </row>
    <row r="336" spans="1:11" x14ac:dyDescent="0.25">
      <c r="A336" s="192"/>
      <c r="B336" s="195"/>
      <c r="C336" s="192"/>
      <c r="D336" s="192"/>
      <c r="E336" s="192"/>
      <c r="F336" s="192"/>
      <c r="G336" s="192"/>
      <c r="H336" s="192"/>
      <c r="I336" s="187"/>
      <c r="J336" s="187"/>
      <c r="K336"/>
    </row>
    <row r="337" spans="1:11" x14ac:dyDescent="0.25">
      <c r="A337" s="192"/>
      <c r="B337" s="195"/>
      <c r="C337" s="192"/>
      <c r="D337" s="192"/>
      <c r="E337" s="192"/>
      <c r="F337" s="192"/>
      <c r="G337" s="192"/>
      <c r="H337" s="192"/>
      <c r="I337" s="187"/>
      <c r="J337" s="187"/>
      <c r="K337"/>
    </row>
    <row r="338" spans="1:11" x14ac:dyDescent="0.25">
      <c r="I338" s="187"/>
      <c r="J338" s="187"/>
      <c r="K338"/>
    </row>
    <row r="339" spans="1:11" x14ac:dyDescent="0.25">
      <c r="I339" s="187"/>
      <c r="J339" s="187"/>
      <c r="K339"/>
    </row>
    <row r="340" spans="1:11" x14ac:dyDescent="0.25">
      <c r="A340" s="196"/>
      <c r="B340" s="193"/>
      <c r="I340" s="187"/>
      <c r="J340" s="187"/>
      <c r="K340"/>
    </row>
    <row r="341" spans="1:11" x14ac:dyDescent="0.25">
      <c r="I341" s="187"/>
      <c r="J341" s="187"/>
      <c r="K341"/>
    </row>
    <row r="342" spans="1:11" x14ac:dyDescent="0.25">
      <c r="I342" s="187"/>
      <c r="J342" s="187"/>
      <c r="K342"/>
    </row>
    <row r="343" spans="1:11" x14ac:dyDescent="0.25">
      <c r="I343" s="187"/>
      <c r="J343" s="187"/>
      <c r="K343"/>
    </row>
    <row r="344" spans="1:11" x14ac:dyDescent="0.25">
      <c r="I344" s="187"/>
      <c r="J344" s="187"/>
      <c r="K344"/>
    </row>
    <row r="345" spans="1:11" x14ac:dyDescent="0.25">
      <c r="I345" s="187"/>
      <c r="J345" s="187"/>
      <c r="K345"/>
    </row>
    <row r="346" spans="1:11" x14ac:dyDescent="0.25">
      <c r="I346" s="187"/>
      <c r="J346" s="187"/>
      <c r="K346"/>
    </row>
    <row r="347" spans="1:11" x14ac:dyDescent="0.25">
      <c r="I347" s="187"/>
      <c r="J347" s="187"/>
      <c r="K347"/>
    </row>
    <row r="348" spans="1:11" x14ac:dyDescent="0.25">
      <c r="I348" s="187"/>
      <c r="J348" s="187"/>
      <c r="K348"/>
    </row>
    <row r="349" spans="1:11" x14ac:dyDescent="0.25">
      <c r="I349" s="187"/>
      <c r="J349" s="187"/>
      <c r="K349"/>
    </row>
    <row r="350" spans="1:11" x14ac:dyDescent="0.25">
      <c r="K35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AZ147"/>
  <sheetViews>
    <sheetView rightToLeft="1" view="pageBreakPreview" zoomScaleSheetLayoutView="100" workbookViewId="0">
      <selection activeCell="F3" sqref="F3:J3 A3"/>
    </sheetView>
  </sheetViews>
  <sheetFormatPr defaultRowHeight="15" x14ac:dyDescent="0.25"/>
  <cols>
    <col min="1" max="1" width="5.7109375" customWidth="1"/>
    <col min="2" max="2" width="14.7109375" customWidth="1"/>
    <col min="3" max="3" width="10.5703125" customWidth="1"/>
    <col min="4" max="4" width="1.42578125" customWidth="1"/>
    <col min="5" max="5" width="14.7109375" customWidth="1"/>
    <col min="6" max="8" width="0.7109375" customWidth="1"/>
    <col min="9" max="9" width="0.5703125" customWidth="1"/>
    <col min="10" max="10" width="5.7109375" customWidth="1"/>
    <col min="11" max="11" width="14.7109375" customWidth="1"/>
    <col min="12" max="12" width="10.5703125" customWidth="1"/>
    <col min="13" max="13" width="1" customWidth="1"/>
    <col min="14" max="14" width="14.7109375" customWidth="1"/>
    <col min="15" max="17" width="0.7109375" customWidth="1"/>
    <col min="20" max="26" width="9.140625" style="223"/>
    <col min="27" max="32" width="9.140625" style="236"/>
  </cols>
  <sheetData>
    <row r="1" spans="1:52" s="94" customFormat="1" ht="5.25" customHeight="1" thickBot="1" x14ac:dyDescent="0.3">
      <c r="A1" s="97" t="s">
        <v>715</v>
      </c>
      <c r="B1" s="98" t="s">
        <v>253</v>
      </c>
      <c r="C1" s="97" t="s">
        <v>713</v>
      </c>
      <c r="D1" s="97"/>
      <c r="E1" s="98" t="s">
        <v>254</v>
      </c>
      <c r="F1" s="97"/>
      <c r="G1" s="99"/>
      <c r="H1" s="97"/>
      <c r="I1" s="97"/>
      <c r="J1" s="97" t="s">
        <v>716</v>
      </c>
      <c r="K1" s="98" t="s">
        <v>253</v>
      </c>
      <c r="L1" s="97" t="s">
        <v>252</v>
      </c>
      <c r="M1" s="97"/>
      <c r="N1" s="98" t="s">
        <v>254</v>
      </c>
      <c r="O1" s="97"/>
      <c r="P1" s="99"/>
      <c r="Q1" s="97"/>
      <c r="R1" s="94" t="s">
        <v>1020</v>
      </c>
      <c r="S1" s="94" t="s">
        <v>1019</v>
      </c>
      <c r="T1" s="226" t="s">
        <v>501</v>
      </c>
      <c r="U1" s="225" t="s">
        <v>246</v>
      </c>
      <c r="V1" s="225" t="s">
        <v>246</v>
      </c>
      <c r="W1" s="223"/>
      <c r="X1" s="223"/>
      <c r="Y1" s="223"/>
      <c r="Z1" s="224" t="str">
        <f>IF(O2="جمعه","Friday",IF(O2="پنجشنبه","Thursday","aadi"))</f>
        <v>aadi</v>
      </c>
      <c r="AA1" s="235"/>
      <c r="AB1" s="235"/>
      <c r="AC1" s="235"/>
      <c r="AD1" s="235"/>
      <c r="AE1" s="235"/>
      <c r="AF1" s="235"/>
      <c r="AX1" s="94" t="s">
        <v>1622</v>
      </c>
      <c r="AZ1" s="94" t="s">
        <v>1613</v>
      </c>
    </row>
    <row r="2" spans="1:52" ht="16.5" customHeight="1" thickBot="1" x14ac:dyDescent="0.3">
      <c r="A2" s="100" t="s">
        <v>243</v>
      </c>
      <c r="B2" s="101" t="str">
        <f>IFERROR(HLOOKUP(B1,Table4[#All],MATCH(F3,Table4[[#All],[تاريخ]],0),0),"")</f>
        <v/>
      </c>
      <c r="C2" s="102" t="s">
        <v>244</v>
      </c>
      <c r="D2" s="103"/>
      <c r="E2" s="101" t="str">
        <f>IFERROR(HLOOKUP(E1,Table4[#All],MATCH(F3,Table4[[#All],[تاريخ]],0),0),"")</f>
        <v/>
      </c>
      <c r="F2" s="104"/>
      <c r="G2" s="104"/>
      <c r="H2" s="104"/>
      <c r="I2" s="104"/>
      <c r="J2" s="105" t="s">
        <v>243</v>
      </c>
      <c r="K2" s="101" t="str">
        <f>IFERROR(HLOOKUP(B1,Table4[#All],MATCH(F3,Table4[[#All],[تاريخ]],0),0),"")</f>
        <v/>
      </c>
      <c r="L2" s="102" t="s">
        <v>244</v>
      </c>
      <c r="M2" s="103"/>
      <c r="N2" s="101" t="str">
        <f>IFERROR(HLOOKUP(E1,Table4[#All],MATCH(F3,Table4[[#All],[تاريخ]],0),0),"")</f>
        <v/>
      </c>
      <c r="O2" s="247" t="str">
        <f>L3</f>
        <v/>
      </c>
      <c r="P2" s="247"/>
      <c r="Q2" s="248"/>
      <c r="R2" s="94"/>
      <c r="S2" s="94"/>
      <c r="T2" s="227" t="str">
        <f>IF(B2="a","c",(IF(B2="b","a","b")))</f>
        <v>b</v>
      </c>
      <c r="U2" s="92"/>
      <c r="V2" s="90"/>
    </row>
    <row r="3" spans="1:52" ht="19.5" customHeight="1" thickBot="1" x14ac:dyDescent="0.3">
      <c r="A3" s="168"/>
      <c r="B3" s="23" t="s">
        <v>9</v>
      </c>
      <c r="C3" s="251" t="s">
        <v>12</v>
      </c>
      <c r="D3" s="251"/>
      <c r="E3" s="251"/>
      <c r="F3" s="252"/>
      <c r="G3" s="252"/>
      <c r="H3" s="252"/>
      <c r="I3" s="252"/>
      <c r="J3" s="252"/>
      <c r="K3" s="106" t="s">
        <v>12</v>
      </c>
      <c r="L3" s="253" t="str">
        <f>IFERROR(HLOOKUP(L1,Table4[#All],MATCH(F3,Table4[[#All],[تاريخ]],0),0),"")</f>
        <v/>
      </c>
      <c r="M3" s="253"/>
      <c r="N3" s="107" t="s">
        <v>9</v>
      </c>
      <c r="O3" s="249"/>
      <c r="P3" s="249"/>
      <c r="Q3" s="250"/>
      <c r="R3" s="94"/>
      <c r="S3" s="94"/>
      <c r="T3" s="225" t="str">
        <f>IFERROR(HLOOKUP(R1,Table4[#All],MATCH(F3,Table4[[#All],[تاريخ]],0),0),"")</f>
        <v/>
      </c>
      <c r="U3" s="92"/>
      <c r="V3" s="90"/>
    </row>
    <row r="4" spans="1:52" ht="24.75" customHeight="1" thickBot="1" x14ac:dyDescent="0.3">
      <c r="A4" s="108" t="s">
        <v>1</v>
      </c>
      <c r="B4" s="109" t="s">
        <v>2</v>
      </c>
      <c r="C4" s="110" t="s">
        <v>3</v>
      </c>
      <c r="D4" s="111" t="s">
        <v>4</v>
      </c>
      <c r="E4" s="109" t="s">
        <v>5</v>
      </c>
      <c r="F4" s="112"/>
      <c r="G4" s="113"/>
      <c r="H4" s="114"/>
      <c r="I4" s="1"/>
      <c r="J4" s="115" t="s">
        <v>1</v>
      </c>
      <c r="K4" s="109" t="s">
        <v>2</v>
      </c>
      <c r="L4" s="110" t="s">
        <v>3</v>
      </c>
      <c r="M4" s="111" t="s">
        <v>4</v>
      </c>
      <c r="N4" s="109" t="s">
        <v>5</v>
      </c>
      <c r="O4" s="116"/>
      <c r="P4" s="117"/>
      <c r="Q4" s="118"/>
      <c r="R4" s="94"/>
      <c r="S4" s="94"/>
      <c r="T4" s="225" t="str">
        <f>IFERROR(HLOOKUP(S1,Table4[#All],MATCH(F3,Table4[[#All],[تاريخ]],0),0),"")</f>
        <v/>
      </c>
      <c r="U4" s="92"/>
      <c r="V4" s="90"/>
      <c r="W4" s="225" t="s">
        <v>709</v>
      </c>
      <c r="X4" s="225" t="s">
        <v>710</v>
      </c>
      <c r="Y4" s="225" t="s">
        <v>711</v>
      </c>
      <c r="Z4" s="225" t="s">
        <v>712</v>
      </c>
      <c r="AA4" s="243" t="s">
        <v>245</v>
      </c>
      <c r="AB4" s="243"/>
      <c r="AC4" s="243" t="s">
        <v>1036</v>
      </c>
      <c r="AD4" s="243"/>
      <c r="AE4" s="243" t="s">
        <v>267</v>
      </c>
      <c r="AF4" s="243"/>
    </row>
    <row r="5" spans="1:52" ht="15.95" customHeight="1" x14ac:dyDescent="0.25">
      <c r="A5" s="237" t="s">
        <v>714</v>
      </c>
      <c r="B5" s="119" t="str">
        <f t="array" ref="B5">IFERROR(INDEX('selected-lohe'!$D$1:$D$359,MATCH(1,(A5='selected-lohe'!$G$1:$G$357)*($B$3='selected-lohe'!$F$1:$F$357)*($A$1='selected-lohe'!$A$1:$A$357),0))&amp;" "&amp;INDEX('selected-lohe'!$C$1:$C$359,MATCH(1,(A5='selected-lohe'!$G$1:$G$357)*($B$3='selected-lohe'!$F$1:$F$357)*($A$1='selected-lohe'!$A$1:$A$357),0)),"")</f>
        <v/>
      </c>
      <c r="C5" s="120" t="str">
        <f t="array" ref="C5">IFERROR(INDEX('selected-lohe'!$D$1:$D$359,MATCH(1,(A5='selected-lohe'!$G$1:$G$357)*($B$3='selected-lohe'!$F$1:$F$357)*($J$1='selected-lohe'!$A$1:$A$357),0))&amp;" "&amp;INDEX('selected-lohe'!$C$1:$C$359,MATCH(1,(A5='selected-lohe'!$G$1:$G$357)*($B$3='selected-lohe'!$F$1:$F$357)*($J$1='selected-lohe'!$A$1:$A$357),0)),"")</f>
        <v/>
      </c>
      <c r="D5" s="121"/>
      <c r="E5" s="121" t="str">
        <f t="array" ref="E5">IFERROR(INDEX('selected-lohe'!$D$1:$D$359,MATCH(1,(A5='selected-lohe'!$G$1:$G$357)*($B$3='selected-lohe'!$F$1:$F$357)*($C$1='selected-lohe'!$A$1:$A$357),0))&amp;" "&amp;INDEX('selected-lohe'!$C$1:$C$359,MATCH(1,(A5='selected-lohe'!$G$1:$G$357)*($B$3='selected-lohe'!$F$1:$F$357)*($C$1='selected-lohe'!$A$1:$A$357),0)),"")</f>
        <v/>
      </c>
      <c r="F5" s="122"/>
      <c r="G5" s="123"/>
      <c r="H5" s="124"/>
      <c r="I5" s="125"/>
      <c r="J5" s="237" t="s">
        <v>22</v>
      </c>
      <c r="K5" s="119" t="str">
        <f t="array" ref="K5">IFERROR(INDEX('selected-lohe'!$D$1:$D$359,MATCH(1,(J5='selected-lohe'!$G$1:$G$357)*($K$3='selected-lohe'!$F$1:$F$357)*($A$1='selected-lohe'!$A$1:$A$357),0))&amp;" "&amp;INDEX('selected-lohe'!$C$1:$C$359,MATCH(1,(J5='selected-lohe'!$G$1:$G$357)*($K$3='selected-lohe'!$F$1:$F$357)*($A$1='selected-lohe'!$A$1:$A$357),0)),"")</f>
        <v/>
      </c>
      <c r="L5" s="120" t="str">
        <f t="array" ref="L5">IFERROR(INDEX('selected-lohe'!$D$1:$D$359,MATCH(1,(J5='selected-lohe'!$G$1:$G$357)*($K$3='selected-lohe'!$F$1:$F$357)*($J$1='selected-lohe'!$A$1:$A$357),0))&amp;" "&amp;INDEX('selected-lohe'!$C$1:$C$359,MATCH(1,(J5='selected-lohe'!$G$1:$G$357)*($K$3='selected-lohe'!$F$1:$F$357)*($J$1='selected-lohe'!$A$1:$A$357),0)),"")</f>
        <v/>
      </c>
      <c r="M5" s="122"/>
      <c r="N5" s="121" t="str">
        <f t="array" ref="N5">IFERROR(INDEX('selected-lohe'!$D$1:$D$359,MATCH(1,(J5='selected-lohe'!$G$1:$G$357)*($K$3='selected-lohe'!$F$1:$F$357)*($C$1='selected-lohe'!$A$1:$A$357),0))&amp;" "&amp;INDEX('selected-lohe'!$C$1:$C$359,MATCH(1,(J5='selected-lohe'!$G$1:$G$357)*($K$3='selected-lohe'!$F$1:$F$357)*($C$1='selected-lohe'!$A$1:$A$357),0)),"")</f>
        <v/>
      </c>
      <c r="O5" s="126"/>
      <c r="P5" s="127"/>
      <c r="Q5" s="128"/>
      <c r="R5" s="94"/>
      <c r="S5" s="94"/>
      <c r="U5" s="92"/>
      <c r="V5" s="90"/>
      <c r="W5" s="225" t="str">
        <f t="array" ref="W5">IFERROR(INDEX('selected-lohe'!$B$1:$B$359,MATCH(1,(A5='selected-lohe'!$G$1:$G$357)*($B$3='selected-lohe'!$F$1:$F$357)*($A$1='selected-lohe'!$A$1:$A$357),0)),"")</f>
        <v/>
      </c>
      <c r="X5" s="225" t="str">
        <f t="array" ref="X5">IFERROR(INDEX('selected-lohe'!$B$1:$B$359,MATCH(1,(A5='selected-lohe'!$G$1:$G$357)*($B$3='selected-lohe'!$F$1:$F$357)*($C$1='selected-lohe'!$A$1:$A$357),0)),"")</f>
        <v/>
      </c>
      <c r="Y5" s="225" t="str">
        <f t="array" ref="Y5">IFERROR(INDEX('selected-lohe'!$B$1:$B$359,MATCH(1,(J5='selected-lohe'!$G$1:$G$357)*($K$3='selected-lohe'!$F$1:$F$357)*($A$1='selected-lohe'!$A$1:$A$357),0)),"")</f>
        <v/>
      </c>
      <c r="Z5" s="225" t="str">
        <f t="array" ref="Z5">IFERROR(INDEX('selected-lohe'!$B$1:$B$359,MATCH(1,(J5='selected-lohe'!$G$1:$G$357)*($K$3='selected-lohe'!$F$1:$F$357)*($C$1='selected-lohe'!$A$1:$A$357),0)),"")</f>
        <v/>
      </c>
      <c r="AA5" s="237" t="s">
        <v>714</v>
      </c>
      <c r="AB5" s="237" t="s">
        <v>22</v>
      </c>
      <c r="AC5" s="237" t="s">
        <v>714</v>
      </c>
      <c r="AD5" s="237" t="s">
        <v>22</v>
      </c>
      <c r="AE5" s="237" t="s">
        <v>25</v>
      </c>
      <c r="AF5" s="237" t="s">
        <v>1376</v>
      </c>
      <c r="AG5" s="233"/>
      <c r="AH5" s="182"/>
      <c r="AI5" s="182"/>
      <c r="AJ5" s="182"/>
      <c r="AK5" s="182"/>
      <c r="AL5" s="182"/>
      <c r="AM5" s="182"/>
    </row>
    <row r="6" spans="1:52" ht="15.95" customHeight="1" x14ac:dyDescent="0.25">
      <c r="A6" s="237" t="s">
        <v>22</v>
      </c>
      <c r="B6" s="119" t="str">
        <f t="array" ref="B6">IFERROR(INDEX('selected-lohe'!$D$1:$D$359,MATCH(1,(A6='selected-lohe'!$G$1:$G$357)*($B$3='selected-lohe'!$F$1:$F$357)*($A$1='selected-lohe'!$A$1:$A$357),0))&amp;" "&amp;INDEX('selected-lohe'!$C$1:$C$359,MATCH(1,(A6='selected-lohe'!$G$1:$G$357)*($B$3='selected-lohe'!$F$1:$F$357)*($A$1='selected-lohe'!$A$1:$A$357),0)),"")</f>
        <v/>
      </c>
      <c r="C6" s="120" t="str">
        <f t="array" ref="C6">IFERROR(INDEX('selected-lohe'!$D$1:$D$359,MATCH(1,(A6='selected-lohe'!$G$1:$G$357)*($B$3='selected-lohe'!$F$1:$F$357)*($J$1='selected-lohe'!$A$1:$A$357),0))&amp;" "&amp;INDEX('selected-lohe'!$C$1:$C$359,MATCH(1,(A6='selected-lohe'!$G$1:$G$357)*($B$3='selected-lohe'!$F$1:$F$357)*($J$1='selected-lohe'!$A$1:$A$357),0)),"")</f>
        <v/>
      </c>
      <c r="D6" s="121"/>
      <c r="E6" s="121" t="str">
        <f t="array" ref="E6">IFERROR(INDEX('selected-lohe'!$D$1:$D$359,MATCH(1,(A6='selected-lohe'!$G$1:$G$357)*($B$3='selected-lohe'!$F$1:$F$357)*($C$1='selected-lohe'!$A$1:$A$357),0))&amp;" "&amp;INDEX('selected-lohe'!$C$1:$C$359,MATCH(1,(A6='selected-lohe'!$G$1:$G$357)*($B$3='selected-lohe'!$F$1:$F$357)*($C$1='selected-lohe'!$A$1:$A$357),0)),"")</f>
        <v/>
      </c>
      <c r="F6" s="122"/>
      <c r="G6" s="123"/>
      <c r="H6" s="124"/>
      <c r="I6" s="125"/>
      <c r="J6" s="237" t="s">
        <v>25</v>
      </c>
      <c r="K6" s="119" t="str">
        <f t="array" ref="K6">IFERROR(INDEX('selected-lohe'!$D$1:$D$359,MATCH(1,(J6='selected-lohe'!$G$1:$G$357)*($K$3='selected-lohe'!$F$1:$F$357)*($A$1='selected-lohe'!$A$1:$A$357),0))&amp;" "&amp;INDEX('selected-lohe'!$C$1:$C$359,MATCH(1,(J6='selected-lohe'!$G$1:$G$357)*($K$3='selected-lohe'!$F$1:$F$357)*($A$1='selected-lohe'!$A$1:$A$357),0)),"")</f>
        <v/>
      </c>
      <c r="L6" s="120" t="str">
        <f t="array" ref="L6">IFERROR(INDEX('selected-lohe'!$D$1:$D$359,MATCH(1,(J6='selected-lohe'!$G$1:$G$357)*($K$3='selected-lohe'!$F$1:$F$357)*($J$1='selected-lohe'!$A$1:$A$357),0))&amp;" "&amp;INDEX('selected-lohe'!$C$1:$C$359,MATCH(1,(J6='selected-lohe'!$G$1:$G$357)*($K$3='selected-lohe'!$F$1:$F$357)*($J$1='selected-lohe'!$A$1:$A$357),0)),"")</f>
        <v/>
      </c>
      <c r="M6" s="122"/>
      <c r="N6" s="121" t="str">
        <f t="array" ref="N6">IFERROR(INDEX('selected-lohe'!$D$1:$D$359,MATCH(1,(J6='selected-lohe'!$G$1:$G$357)*($K$3='selected-lohe'!$F$1:$F$357)*($C$1='selected-lohe'!$A$1:$A$357),0))&amp;" "&amp;INDEX('selected-lohe'!$C$1:$C$359,MATCH(1,(J6='selected-lohe'!$G$1:$G$357)*($K$3='selected-lohe'!$F$1:$F$357)*($C$1='selected-lohe'!$A$1:$A$357),0)),"")</f>
        <v/>
      </c>
      <c r="O6" s="129"/>
      <c r="P6" s="130"/>
      <c r="Q6" s="131"/>
      <c r="R6" s="94"/>
      <c r="S6" s="94"/>
      <c r="U6" s="92"/>
      <c r="V6" s="90"/>
      <c r="W6" s="225" t="str">
        <f t="array" ref="W6">IFERROR(INDEX('selected-lohe'!$B$1:$B$359,MATCH(1,(A6='selected-lohe'!$G$1:$G$357)*($B$3='selected-lohe'!$F$1:$F$357)*($A$1='selected-lohe'!$A$1:$A$357),0)),"")</f>
        <v/>
      </c>
      <c r="X6" s="225" t="str">
        <f t="array" ref="X6">IFERROR(INDEX('selected-lohe'!$B$1:$B$359,MATCH(1,(A6='selected-lohe'!$G$1:$G$357)*($B$3='selected-lohe'!$F$1:$F$357)*($C$1='selected-lohe'!$A$1:$A$357),0)),"")</f>
        <v/>
      </c>
      <c r="Y6" s="225" t="str">
        <f t="array" ref="Y6">IFERROR(INDEX('selected-lohe'!$B$1:$B$359,MATCH(1,(J6='selected-lohe'!$G$1:$G$357)*($K$3='selected-lohe'!$F$1:$F$357)*($A$1='selected-lohe'!$A$1:$A$357),0)),"")</f>
        <v/>
      </c>
      <c r="Z6" s="225" t="str">
        <f t="array" ref="Z6">IFERROR(INDEX('selected-lohe'!$B$1:$B$359,MATCH(1,(J6='selected-lohe'!$G$1:$G$357)*($K$3='selected-lohe'!$F$1:$F$357)*($C$1='selected-lohe'!$A$1:$A$357),0)),"")</f>
        <v/>
      </c>
      <c r="AA6" s="237" t="s">
        <v>22</v>
      </c>
      <c r="AB6" s="237" t="s">
        <v>25</v>
      </c>
      <c r="AC6" s="237" t="s">
        <v>22</v>
      </c>
      <c r="AD6" s="237" t="s">
        <v>25</v>
      </c>
      <c r="AE6" s="237" t="s">
        <v>28</v>
      </c>
      <c r="AF6" s="237" t="s">
        <v>1377</v>
      </c>
      <c r="AG6" s="234"/>
      <c r="AH6" s="182"/>
      <c r="AI6" s="182"/>
      <c r="AJ6" s="182"/>
      <c r="AK6" s="182"/>
      <c r="AL6" s="182"/>
      <c r="AM6" s="182"/>
    </row>
    <row r="7" spans="1:52" ht="15.95" customHeight="1" x14ac:dyDescent="0.25">
      <c r="A7" s="237" t="s">
        <v>23</v>
      </c>
      <c r="B7" s="119" t="str">
        <f t="array" ref="B7">IFERROR(INDEX('selected-lohe'!$D$1:$D$359,MATCH(1,(A7='selected-lohe'!$G$1:$G$357)*($B$3='selected-lohe'!$F$1:$F$357)*($A$1='selected-lohe'!$A$1:$A$357),0))&amp;" "&amp;INDEX('selected-lohe'!$C$1:$C$359,MATCH(1,(A7='selected-lohe'!$G$1:$G$357)*($B$3='selected-lohe'!$F$1:$F$357)*($A$1='selected-lohe'!$A$1:$A$357),0)),"")</f>
        <v/>
      </c>
      <c r="C7" s="120" t="str">
        <f t="array" ref="C7">IFERROR(INDEX('selected-lohe'!$D$1:$D$359,MATCH(1,(A7='selected-lohe'!$G$1:$G$357)*($B$3='selected-lohe'!$F$1:$F$357)*($J$1='selected-lohe'!$A$1:$A$357),0))&amp;" "&amp;INDEX('selected-lohe'!$C$1:$C$359,MATCH(1,(A7='selected-lohe'!$G$1:$G$357)*($B$3='selected-lohe'!$F$1:$F$357)*($J$1='selected-lohe'!$A$1:$A$357),0)),"")</f>
        <v/>
      </c>
      <c r="D7" s="121"/>
      <c r="E7" s="121" t="str">
        <f t="array" ref="E7">IFERROR(INDEX('selected-lohe'!$D$1:$D$359,MATCH(1,(A7='selected-lohe'!$G$1:$G$357)*($B$3='selected-lohe'!$F$1:$F$357)*($C$1='selected-lohe'!$A$1:$A$357),0))&amp;" "&amp;INDEX('selected-lohe'!$C$1:$C$359,MATCH(1,(A7='selected-lohe'!$G$1:$G$357)*($B$3='selected-lohe'!$F$1:$F$357)*($C$1='selected-lohe'!$A$1:$A$357),0)),"")</f>
        <v/>
      </c>
      <c r="F7" s="122"/>
      <c r="G7" s="123"/>
      <c r="H7" s="124"/>
      <c r="I7" s="125"/>
      <c r="J7" s="237" t="s">
        <v>26</v>
      </c>
      <c r="K7" s="119" t="str">
        <f t="array" ref="K7">IFERROR(INDEX('selected-lohe'!$D$1:$D$359,MATCH(1,(J7='selected-lohe'!$G$1:$G$357)*($K$3='selected-lohe'!$F$1:$F$357)*($A$1='selected-lohe'!$A$1:$A$357),0))&amp;" "&amp;INDEX('selected-lohe'!$C$1:$C$359,MATCH(1,(J7='selected-lohe'!$G$1:$G$357)*($K$3='selected-lohe'!$F$1:$F$357)*($A$1='selected-lohe'!$A$1:$A$357),0)),"")</f>
        <v/>
      </c>
      <c r="L7" s="120" t="str">
        <f t="array" ref="L7">IFERROR(INDEX('selected-lohe'!$D$1:$D$359,MATCH(1,(J7='selected-lohe'!$G$1:$G$357)*($K$3='selected-lohe'!$F$1:$F$357)*($J$1='selected-lohe'!$A$1:$A$357),0))&amp;" "&amp;INDEX('selected-lohe'!$C$1:$C$359,MATCH(1,(J7='selected-lohe'!$G$1:$G$357)*($K$3='selected-lohe'!$F$1:$F$357)*($J$1='selected-lohe'!$A$1:$A$357),0)),"")</f>
        <v/>
      </c>
      <c r="M7" s="122"/>
      <c r="N7" s="121" t="str">
        <f t="array" ref="N7">IFERROR(INDEX('selected-lohe'!$D$1:$D$359,MATCH(1,(J7='selected-lohe'!$G$1:$G$357)*($K$3='selected-lohe'!$F$1:$F$357)*($C$1='selected-lohe'!$A$1:$A$357),0))&amp;" "&amp;INDEX('selected-lohe'!$C$1:$C$359,MATCH(1,(J7='selected-lohe'!$G$1:$G$357)*($K$3='selected-lohe'!$F$1:$F$357)*($C$1='selected-lohe'!$A$1:$A$357),0)),"")</f>
        <v/>
      </c>
      <c r="O7" s="129"/>
      <c r="P7" s="130"/>
      <c r="Q7" s="131"/>
      <c r="R7" s="94"/>
      <c r="S7" s="94"/>
      <c r="U7" s="92"/>
      <c r="V7" s="229"/>
      <c r="W7" s="225" t="str">
        <f t="array" ref="W7">IFERROR(INDEX('selected-lohe'!$B$1:$B$359,MATCH(1,(A7='selected-lohe'!$G$1:$G$357)*($B$3='selected-lohe'!$F$1:$F$357)*($A$1='selected-lohe'!$A$1:$A$357),0)),"")</f>
        <v/>
      </c>
      <c r="X7" s="225" t="str">
        <f t="array" ref="X7">IFERROR(INDEX('selected-lohe'!$B$1:$B$359,MATCH(1,(A7='selected-lohe'!$G$1:$G$357)*($B$3='selected-lohe'!$F$1:$F$357)*($C$1='selected-lohe'!$A$1:$A$357),0)),"")</f>
        <v/>
      </c>
      <c r="Y7" s="225" t="str">
        <f t="array" ref="Y7">IFERROR(INDEX('selected-lohe'!$B$1:$B$359,MATCH(1,(J7='selected-lohe'!$G$1:$G$357)*($K$3='selected-lohe'!$F$1:$F$357)*($A$1='selected-lohe'!$A$1:$A$357),0)),"")</f>
        <v/>
      </c>
      <c r="Z7" s="225" t="str">
        <f t="array" ref="Z7">IFERROR(INDEX('selected-lohe'!$B$1:$B$359,MATCH(1,(J7='selected-lohe'!$G$1:$G$357)*($K$3='selected-lohe'!$F$1:$F$357)*($C$1='selected-lohe'!$A$1:$A$357),0)),"")</f>
        <v/>
      </c>
      <c r="AA7" s="237" t="s">
        <v>23</v>
      </c>
      <c r="AB7" s="237" t="s">
        <v>26</v>
      </c>
      <c r="AC7" s="237" t="s">
        <v>23</v>
      </c>
      <c r="AD7" s="237" t="s">
        <v>26</v>
      </c>
      <c r="AE7" s="237" t="s">
        <v>30</v>
      </c>
      <c r="AF7" s="237" t="s">
        <v>1378</v>
      </c>
      <c r="AG7" s="234"/>
      <c r="AH7" s="182"/>
      <c r="AI7" s="182"/>
      <c r="AJ7" s="182"/>
      <c r="AK7" s="182"/>
      <c r="AL7" s="182"/>
      <c r="AM7" s="182"/>
    </row>
    <row r="8" spans="1:52" ht="15.95" customHeight="1" x14ac:dyDescent="0.25">
      <c r="A8" s="237" t="s">
        <v>24</v>
      </c>
      <c r="B8" s="119" t="str">
        <f t="array" ref="B8">IFERROR(INDEX('selected-lohe'!$D$1:$D$359,MATCH(1,(A8='selected-lohe'!$G$1:$G$357)*($B$3='selected-lohe'!$F$1:$F$357)*($A$1='selected-lohe'!$A$1:$A$357),0))&amp;" "&amp;INDEX('selected-lohe'!$C$1:$C$359,MATCH(1,(A8='selected-lohe'!$G$1:$G$357)*($B$3='selected-lohe'!$F$1:$F$357)*($A$1='selected-lohe'!$A$1:$A$357),0)),"")</f>
        <v/>
      </c>
      <c r="C8" s="120" t="str">
        <f t="array" ref="C8">IFERROR(INDEX('selected-lohe'!$D$1:$D$359,MATCH(1,(A8='selected-lohe'!$G$1:$G$357)*($B$3='selected-lohe'!$F$1:$F$357)*($J$1='selected-lohe'!$A$1:$A$357),0))&amp;" "&amp;INDEX('selected-lohe'!$C$1:$C$359,MATCH(1,(A8='selected-lohe'!$G$1:$G$357)*($B$3='selected-lohe'!$F$1:$F$357)*($J$1='selected-lohe'!$A$1:$A$357),0)),"")</f>
        <v/>
      </c>
      <c r="D8" s="121"/>
      <c r="E8" s="121" t="str">
        <f t="array" ref="E8">IFERROR(INDEX('selected-lohe'!$D$1:$D$359,MATCH(1,(A8='selected-lohe'!$G$1:$G$357)*($B$3='selected-lohe'!$F$1:$F$357)*($C$1='selected-lohe'!$A$1:$A$357),0))&amp;" "&amp;INDEX('selected-lohe'!$C$1:$C$359,MATCH(1,(A8='selected-lohe'!$G$1:$G$357)*($B$3='selected-lohe'!$F$1:$F$357)*($C$1='selected-lohe'!$A$1:$A$357),0)),"")</f>
        <v/>
      </c>
      <c r="F8" s="122"/>
      <c r="G8" s="123"/>
      <c r="H8" s="124"/>
      <c r="I8" s="125"/>
      <c r="J8" s="237" t="s">
        <v>28</v>
      </c>
      <c r="K8" s="119" t="str">
        <f t="array" ref="K8">IFERROR(INDEX('selected-lohe'!$D$1:$D$359,MATCH(1,(J8='selected-lohe'!$G$1:$G$357)*($K$3='selected-lohe'!$F$1:$F$357)*($A$1='selected-lohe'!$A$1:$A$357),0))&amp;" "&amp;INDEX('selected-lohe'!$C$1:$C$359,MATCH(1,(J8='selected-lohe'!$G$1:$G$357)*($K$3='selected-lohe'!$F$1:$F$357)*($A$1='selected-lohe'!$A$1:$A$357),0)),"")</f>
        <v/>
      </c>
      <c r="L8" s="120" t="str">
        <f t="array" ref="L8">IFERROR(INDEX('selected-lohe'!$D$1:$D$359,MATCH(1,(J8='selected-lohe'!$G$1:$G$357)*($K$3='selected-lohe'!$F$1:$F$357)*($J$1='selected-lohe'!$A$1:$A$357),0))&amp;" "&amp;INDEX('selected-lohe'!$C$1:$C$359,MATCH(1,(J8='selected-lohe'!$G$1:$G$357)*($K$3='selected-lohe'!$F$1:$F$357)*($J$1='selected-lohe'!$A$1:$A$357),0)),"")</f>
        <v/>
      </c>
      <c r="M8" s="122"/>
      <c r="N8" s="121" t="str">
        <f t="array" ref="N8">IFERROR(INDEX('selected-lohe'!$D$1:$D$359,MATCH(1,(J8='selected-lohe'!$G$1:$G$357)*($K$3='selected-lohe'!$F$1:$F$357)*($C$1='selected-lohe'!$A$1:$A$357),0))&amp;" "&amp;INDEX('selected-lohe'!$C$1:$C$359,MATCH(1,(J8='selected-lohe'!$G$1:$G$357)*($K$3='selected-lohe'!$F$1:$F$357)*($C$1='selected-lohe'!$A$1:$A$357),0)),"")</f>
        <v/>
      </c>
      <c r="O8" s="129"/>
      <c r="P8" s="130"/>
      <c r="Q8" s="131"/>
      <c r="R8" s="94"/>
      <c r="S8" s="94"/>
      <c r="U8" s="92"/>
      <c r="V8" s="229"/>
      <c r="W8" s="225" t="str">
        <f t="array" ref="W8">IFERROR(INDEX('selected-lohe'!$B$1:$B$359,MATCH(1,(A8='selected-lohe'!$G$1:$G$357)*($B$3='selected-lohe'!$F$1:$F$357)*($A$1='selected-lohe'!$A$1:$A$357),0)),"")</f>
        <v/>
      </c>
      <c r="X8" s="225" t="str">
        <f t="array" ref="X8">IFERROR(INDEX('selected-lohe'!$B$1:$B$359,MATCH(1,(A8='selected-lohe'!$G$1:$G$357)*($B$3='selected-lohe'!$F$1:$F$357)*($C$1='selected-lohe'!$A$1:$A$357),0)),"")</f>
        <v/>
      </c>
      <c r="Y8" s="225" t="str">
        <f t="array" ref="Y8">IFERROR(INDEX('selected-lohe'!$B$1:$B$359,MATCH(1,(J8='selected-lohe'!$G$1:$G$357)*($K$3='selected-lohe'!$F$1:$F$357)*($A$1='selected-lohe'!$A$1:$A$357),0)),"")</f>
        <v/>
      </c>
      <c r="Z8" s="225" t="str">
        <f t="array" ref="Z8">IFERROR(INDEX('selected-lohe'!$B$1:$B$359,MATCH(1,(J8='selected-lohe'!$G$1:$G$357)*($K$3='selected-lohe'!$F$1:$F$357)*($C$1='selected-lohe'!$A$1:$A$357),0)),"")</f>
        <v/>
      </c>
      <c r="AA8" s="237" t="s">
        <v>24</v>
      </c>
      <c r="AB8" s="237" t="s">
        <v>28</v>
      </c>
      <c r="AC8" s="237" t="s">
        <v>24</v>
      </c>
      <c r="AD8" s="237" t="s">
        <v>28</v>
      </c>
      <c r="AE8" s="237" t="s">
        <v>33</v>
      </c>
      <c r="AF8" s="237" t="s">
        <v>1379</v>
      </c>
      <c r="AG8" s="234"/>
      <c r="AH8" s="182"/>
      <c r="AI8" s="182"/>
      <c r="AJ8" s="182"/>
      <c r="AK8" s="182"/>
      <c r="AL8" s="182"/>
      <c r="AM8" s="182"/>
    </row>
    <row r="9" spans="1:52" ht="15.95" customHeight="1" x14ac:dyDescent="0.25">
      <c r="A9" s="237" t="s">
        <v>25</v>
      </c>
      <c r="B9" s="119" t="str">
        <f t="array" ref="B9">IFERROR(INDEX('selected-lohe'!$D$1:$D$359,MATCH(1,(A9='selected-lohe'!$G$1:$G$357)*($B$3='selected-lohe'!$F$1:$F$357)*($A$1='selected-lohe'!$A$1:$A$357),0))&amp;" "&amp;INDEX('selected-lohe'!$C$1:$C$359,MATCH(1,(A9='selected-lohe'!$G$1:$G$357)*($B$3='selected-lohe'!$F$1:$F$357)*($A$1='selected-lohe'!$A$1:$A$357),0)),"")</f>
        <v/>
      </c>
      <c r="C9" s="120" t="str">
        <f t="array" ref="C9">IFERROR(INDEX('selected-lohe'!$D$1:$D$359,MATCH(1,(A9='selected-lohe'!$G$1:$G$357)*($B$3='selected-lohe'!$F$1:$F$357)*($J$1='selected-lohe'!$A$1:$A$357),0))&amp;" "&amp;INDEX('selected-lohe'!$C$1:$C$359,MATCH(1,(A9='selected-lohe'!$G$1:$G$357)*($B$3='selected-lohe'!$F$1:$F$357)*($J$1='selected-lohe'!$A$1:$A$357),0)),"")</f>
        <v/>
      </c>
      <c r="D9" s="121"/>
      <c r="E9" s="121" t="str">
        <f t="array" ref="E9">IFERROR(INDEX('selected-lohe'!$D$1:$D$359,MATCH(1,(A9='selected-lohe'!$G$1:$G$357)*($B$3='selected-lohe'!$F$1:$F$357)*($C$1='selected-lohe'!$A$1:$A$357),0))&amp;" "&amp;INDEX('selected-lohe'!$C$1:$C$359,MATCH(1,(A9='selected-lohe'!$G$1:$G$357)*($B$3='selected-lohe'!$F$1:$F$357)*($C$1='selected-lohe'!$A$1:$A$357),0)),"")</f>
        <v/>
      </c>
      <c r="F9" s="122"/>
      <c r="G9" s="123"/>
      <c r="H9" s="124"/>
      <c r="I9" s="125"/>
      <c r="J9" s="237"/>
      <c r="K9" s="119" t="str">
        <f t="array" ref="K9">IFERROR(INDEX('selected-lohe'!$D$1:$D$359,MATCH(1,(J9='selected-lohe'!$G$1:$G$357)*($K$3='selected-lohe'!$F$1:$F$357)*($A$1='selected-lohe'!$A$1:$A$357),0))&amp;" "&amp;INDEX('selected-lohe'!$C$1:$C$359,MATCH(1,(J9='selected-lohe'!$G$1:$G$357)*($K$3='selected-lohe'!$F$1:$F$357)*($A$1='selected-lohe'!$A$1:$A$357),0)),"")</f>
        <v/>
      </c>
      <c r="L9" s="120" t="str">
        <f t="array" ref="L9">IFERROR(INDEX('selected-lohe'!$D$1:$D$359,MATCH(1,(J9='selected-lohe'!$G$1:$G$357)*($K$3='selected-lohe'!$F$1:$F$357)*($J$1='selected-lohe'!$A$1:$A$357),0))&amp;" "&amp;INDEX('selected-lohe'!$C$1:$C$359,MATCH(1,(J9='selected-lohe'!$G$1:$G$357)*($K$3='selected-lohe'!$F$1:$F$357)*($J$1='selected-lohe'!$A$1:$A$357),0)),"")</f>
        <v/>
      </c>
      <c r="M9" s="122"/>
      <c r="N9" s="121" t="str">
        <f t="array" ref="N9">IFERROR(INDEX('selected-lohe'!$D$1:$D$359,MATCH(1,(J9='selected-lohe'!$G$1:$G$357)*($K$3='selected-lohe'!$F$1:$F$357)*($C$1='selected-lohe'!$A$1:$A$357),0))&amp;" "&amp;INDEX('selected-lohe'!$C$1:$C$359,MATCH(1,(J9='selected-lohe'!$G$1:$G$357)*($K$3='selected-lohe'!$F$1:$F$357)*($C$1='selected-lohe'!$A$1:$A$357),0)),"")</f>
        <v/>
      </c>
      <c r="O9" s="122"/>
      <c r="P9" s="123"/>
      <c r="Q9" s="124"/>
      <c r="R9" s="94"/>
      <c r="S9" s="94"/>
      <c r="U9" s="92"/>
      <c r="W9" s="225" t="str">
        <f t="array" ref="W9">IFERROR(INDEX('selected-lohe'!$B$1:$B$359,MATCH(1,(A9='selected-lohe'!$G$1:$G$357)*($B$3='selected-lohe'!$F$1:$F$357)*($A$1='selected-lohe'!$A$1:$A$357),0)),"")</f>
        <v/>
      </c>
      <c r="X9" s="225" t="str">
        <f t="array" ref="X9">IFERROR(INDEX('selected-lohe'!$B$1:$B$359,MATCH(1,(A9='selected-lohe'!$G$1:$G$357)*($B$3='selected-lohe'!$F$1:$F$357)*($C$1='selected-lohe'!$A$1:$A$357),0)),"")</f>
        <v/>
      </c>
      <c r="Y9" s="225" t="str">
        <f t="array" ref="Y9">IFERROR(INDEX('selected-lohe'!$B$1:$B$359,MATCH(1,(J9='selected-lohe'!$G$1:$G$357)*($K$3='selected-lohe'!$F$1:$F$357)*($A$1='selected-lohe'!$A$1:$A$357),0)),"")</f>
        <v/>
      </c>
      <c r="Z9" s="225" t="str">
        <f t="array" ref="Z9">IFERROR(INDEX('selected-lohe'!$B$1:$B$359,MATCH(1,(J9='selected-lohe'!$G$1:$G$357)*($K$3='selected-lohe'!$F$1:$F$357)*($C$1='selected-lohe'!$A$1:$A$357),0)),"")</f>
        <v/>
      </c>
      <c r="AA9" s="237" t="s">
        <v>25</v>
      </c>
      <c r="AB9" s="237"/>
      <c r="AC9" s="237" t="s">
        <v>25</v>
      </c>
      <c r="AD9" s="237"/>
      <c r="AE9" s="237" t="s">
        <v>36</v>
      </c>
      <c r="AF9" s="237" t="s">
        <v>1380</v>
      </c>
      <c r="AG9" s="234"/>
      <c r="AH9" s="182"/>
      <c r="AJ9" s="182"/>
      <c r="AL9" s="182"/>
      <c r="AM9" s="182"/>
    </row>
    <row r="10" spans="1:52" ht="15.95" customHeight="1" x14ac:dyDescent="0.25">
      <c r="A10" s="237" t="s">
        <v>26</v>
      </c>
      <c r="B10" s="119" t="str">
        <f t="array" ref="B10">IFERROR(INDEX('selected-lohe'!$D$1:$D$359,MATCH(1,(A10='selected-lohe'!$G$1:$G$357)*($B$3='selected-lohe'!$F$1:$F$357)*($A$1='selected-lohe'!$A$1:$A$357),0))&amp;" "&amp;INDEX('selected-lohe'!$C$1:$C$359,MATCH(1,(A10='selected-lohe'!$G$1:$G$357)*($B$3='selected-lohe'!$F$1:$F$357)*($A$1='selected-lohe'!$A$1:$A$357),0)),"")</f>
        <v/>
      </c>
      <c r="C10" s="120" t="str">
        <f t="array" ref="C10">IFERROR(INDEX('selected-lohe'!$D$1:$D$359,MATCH(1,(A10='selected-lohe'!$G$1:$G$357)*($B$3='selected-lohe'!$F$1:$F$357)*($J$1='selected-lohe'!$A$1:$A$357),0))&amp;" "&amp;INDEX('selected-lohe'!$C$1:$C$359,MATCH(1,(A10='selected-lohe'!$G$1:$G$357)*($B$3='selected-lohe'!$F$1:$F$357)*($J$1='selected-lohe'!$A$1:$A$357),0)),"")</f>
        <v/>
      </c>
      <c r="D10" s="121"/>
      <c r="E10" s="121" t="str">
        <f t="array" ref="E10">IFERROR(INDEX('selected-lohe'!$D$1:$D$359,MATCH(1,(A10='selected-lohe'!$G$1:$G$357)*($B$3='selected-lohe'!$F$1:$F$357)*($C$1='selected-lohe'!$A$1:$A$357),0))&amp;" "&amp;INDEX('selected-lohe'!$C$1:$C$359,MATCH(1,(A10='selected-lohe'!$G$1:$G$357)*($B$3='selected-lohe'!$F$1:$F$357)*($C$1='selected-lohe'!$A$1:$A$357),0)),"")</f>
        <v/>
      </c>
      <c r="F10" s="122"/>
      <c r="G10" s="123"/>
      <c r="H10" s="124"/>
      <c r="I10" s="125"/>
      <c r="J10" s="237"/>
      <c r="K10" s="119" t="str">
        <f t="array" ref="K10">IFERROR(INDEX('selected-lohe'!$D$1:$D$359,MATCH(1,(J10='selected-lohe'!$G$1:$G$357)*($K$3='selected-lohe'!$F$1:$F$357)*($A$1='selected-lohe'!$A$1:$A$357),0))&amp;" "&amp;INDEX('selected-lohe'!$C$1:$C$359,MATCH(1,(J10='selected-lohe'!$G$1:$G$357)*($K$3='selected-lohe'!$F$1:$F$357)*($A$1='selected-lohe'!$A$1:$A$357),0)),"")</f>
        <v/>
      </c>
      <c r="L10" s="181" t="str">
        <f t="array" ref="L10">IFERROR(INDEX('selected-lohe'!$D$1:$D$359,MATCH(1,(J10='selected-lohe'!$G$1:$G$357)*($K$3='selected-lohe'!$F$1:$F$357)*($J$1='selected-lohe'!$A$1:$A$357),0))&amp;" "&amp;INDEX('selected-lohe'!$C$1:$C$359,MATCH(1,(J10='selected-lohe'!$G$1:$G$357)*($K$3='selected-lohe'!$F$1:$F$357)*($J$1='selected-lohe'!$A$1:$A$357),0)),"")</f>
        <v/>
      </c>
      <c r="M10" s="122"/>
      <c r="N10" s="121" t="str">
        <f t="array" ref="N10">IFERROR(INDEX('selected-lohe'!$D$1:$D$359,MATCH(1,(J10='selected-lohe'!$G$1:$G$357)*($K$3='selected-lohe'!$F$1:$F$357)*($C$1='selected-lohe'!$A$1:$A$357),0))&amp;" "&amp;INDEX('selected-lohe'!$C$1:$C$359,MATCH(1,(J10='selected-lohe'!$G$1:$G$357)*($K$3='selected-lohe'!$F$1:$F$357)*($C$1='selected-lohe'!$A$1:$A$357),0)),"")</f>
        <v/>
      </c>
      <c r="O10" s="122"/>
      <c r="P10" s="123"/>
      <c r="Q10" s="124"/>
      <c r="R10" s="94"/>
      <c r="S10" s="94"/>
      <c r="U10" s="92"/>
      <c r="W10" s="225" t="str">
        <f t="array" ref="W10">IFERROR(INDEX('selected-lohe'!$B$1:$B$359,MATCH(1,(A10='selected-lohe'!$G$1:$G$357)*($B$3='selected-lohe'!$F$1:$F$357)*($A$1='selected-lohe'!$A$1:$A$357),0)),"")</f>
        <v/>
      </c>
      <c r="X10" s="225" t="str">
        <f t="array" ref="X10">IFERROR(INDEX('selected-lohe'!$B$1:$B$359,MATCH(1,(A10='selected-lohe'!$G$1:$G$357)*($B$3='selected-lohe'!$F$1:$F$357)*($C$1='selected-lohe'!$A$1:$A$357),0)),"")</f>
        <v/>
      </c>
      <c r="Y10" s="225" t="str">
        <f t="array" ref="Y10">IFERROR(INDEX('selected-lohe'!$B$1:$B$359,MATCH(1,(J10='selected-lohe'!$G$1:$G$357)*($K$3='selected-lohe'!$F$1:$F$357)*($A$1='selected-lohe'!$A$1:$A$357),0)),"")</f>
        <v/>
      </c>
      <c r="Z10" s="225" t="str">
        <f t="array" ref="Z10">IFERROR(INDEX('selected-lohe'!$B$1:$B$359,MATCH(1,(J10='selected-lohe'!$G$1:$G$357)*($K$3='selected-lohe'!$F$1:$F$357)*($C$1='selected-lohe'!$A$1:$A$357),0)),"")</f>
        <v/>
      </c>
      <c r="AA10" s="237" t="s">
        <v>26</v>
      </c>
      <c r="AB10" s="237"/>
      <c r="AC10" s="237" t="s">
        <v>26</v>
      </c>
      <c r="AD10" s="237"/>
      <c r="AE10" s="237" t="s">
        <v>82</v>
      </c>
      <c r="AF10" s="237" t="s">
        <v>1381</v>
      </c>
      <c r="AG10" s="234"/>
      <c r="AH10" s="182"/>
      <c r="AJ10" s="182"/>
      <c r="AL10" s="182"/>
      <c r="AM10" s="182"/>
    </row>
    <row r="11" spans="1:52" ht="15.95" customHeight="1" x14ac:dyDescent="0.25">
      <c r="A11" s="237" t="s">
        <v>27</v>
      </c>
      <c r="B11" s="119" t="str">
        <f t="array" ref="B11">IFERROR(INDEX('selected-lohe'!$D$1:$D$359,MATCH(1,(A11='selected-lohe'!$G$1:$G$357)*($B$3='selected-lohe'!$F$1:$F$357)*($A$1='selected-lohe'!$A$1:$A$357),0))&amp;" "&amp;INDEX('selected-lohe'!$C$1:$C$359,MATCH(1,(A11='selected-lohe'!$G$1:$G$357)*($B$3='selected-lohe'!$F$1:$F$357)*($A$1='selected-lohe'!$A$1:$A$357),0)),"")</f>
        <v/>
      </c>
      <c r="C11" s="120" t="str">
        <f t="array" ref="C11">IFERROR(INDEX('selected-lohe'!$D$1:$D$359,MATCH(1,(A11='selected-lohe'!$G$1:$G$357)*($B$3='selected-lohe'!$F$1:$F$357)*($J$1='selected-lohe'!$A$1:$A$357),0))&amp;" "&amp;INDEX('selected-lohe'!$C$1:$C$359,MATCH(1,(A11='selected-lohe'!$G$1:$G$357)*($B$3='selected-lohe'!$F$1:$F$357)*($J$1='selected-lohe'!$A$1:$A$357),0)),"")</f>
        <v/>
      </c>
      <c r="D11" s="121"/>
      <c r="E11" s="121" t="str">
        <f t="array" ref="E11">IFERROR(INDEX('selected-lohe'!$D$1:$D$359,MATCH(1,(A11='selected-lohe'!$G$1:$G$357)*($B$3='selected-lohe'!$F$1:$F$357)*($C$1='selected-lohe'!$A$1:$A$357),0))&amp;" "&amp;INDEX('selected-lohe'!$C$1:$C$359,MATCH(1,(A11='selected-lohe'!$G$1:$G$357)*($B$3='selected-lohe'!$F$1:$F$357)*($C$1='selected-lohe'!$A$1:$A$357),0)),"")</f>
        <v/>
      </c>
      <c r="F11" s="122"/>
      <c r="G11" s="123"/>
      <c r="H11" s="124"/>
      <c r="I11" s="125"/>
      <c r="J11" s="237"/>
      <c r="K11" s="119" t="str">
        <f t="array" ref="K11">IFERROR(INDEX('selected-lohe'!$D$1:$D$359,MATCH(1,(J11='selected-lohe'!$G$1:$G$357)*($K$3='selected-lohe'!$F$1:$F$357)*($A$1='selected-lohe'!$A$1:$A$357),0))&amp;" "&amp;INDEX('selected-lohe'!$C$1:$C$359,MATCH(1,(J11='selected-lohe'!$G$1:$G$357)*($K$3='selected-lohe'!$F$1:$F$357)*($A$1='selected-lohe'!$A$1:$A$357),0)),"")</f>
        <v/>
      </c>
      <c r="L11" s="120" t="str">
        <f t="array" ref="L11">IFERROR(INDEX('selected-lohe'!$D$1:$D$359,MATCH(1,(J11='selected-lohe'!$G$1:$G$357)*($K$3='selected-lohe'!$F$1:$F$357)*($J$1='selected-lohe'!$A$1:$A$357),0))&amp;" "&amp;INDEX('selected-lohe'!$C$1:$C$359,MATCH(1,(J11='selected-lohe'!$G$1:$G$357)*($K$3='selected-lohe'!$F$1:$F$357)*($J$1='selected-lohe'!$A$1:$A$357),0)),"")</f>
        <v/>
      </c>
      <c r="M11" s="122"/>
      <c r="N11" s="121" t="str">
        <f t="array" ref="N11">IFERROR(INDEX('selected-lohe'!$D$1:$D$359,MATCH(1,(J11='selected-lohe'!$G$1:$G$357)*($K$3='selected-lohe'!$F$1:$F$357)*($C$1='selected-lohe'!$A$1:$A$357),0))&amp;" "&amp;INDEX('selected-lohe'!$C$1:$C$359,MATCH(1,(J11='selected-lohe'!$G$1:$G$357)*($K$3='selected-lohe'!$F$1:$F$357)*($C$1='selected-lohe'!$A$1:$A$357),0)),"")</f>
        <v/>
      </c>
      <c r="O11" s="122"/>
      <c r="P11" s="123"/>
      <c r="Q11" s="124"/>
      <c r="R11" s="94"/>
      <c r="S11" s="94"/>
      <c r="U11" s="92"/>
      <c r="W11" s="225" t="str">
        <f t="array" ref="W11">IFERROR(INDEX('selected-lohe'!$B$1:$B$359,MATCH(1,(A11='selected-lohe'!$G$1:$G$357)*($B$3='selected-lohe'!$F$1:$F$357)*($A$1='selected-lohe'!$A$1:$A$357),0)),"")</f>
        <v/>
      </c>
      <c r="X11" s="225" t="str">
        <f t="array" ref="X11">IFERROR(INDEX('selected-lohe'!$B$1:$B$359,MATCH(1,(A11='selected-lohe'!$G$1:$G$357)*($B$3='selected-lohe'!$F$1:$F$357)*($C$1='selected-lohe'!$A$1:$A$357),0)),"")</f>
        <v/>
      </c>
      <c r="Y11" s="225" t="str">
        <f t="array" ref="Y11">IFERROR(INDEX('selected-lohe'!$B$1:$B$359,MATCH(1,(J11='selected-lohe'!$G$1:$G$357)*($K$3='selected-lohe'!$F$1:$F$357)*($A$1='selected-lohe'!$A$1:$A$357),0)),"")</f>
        <v/>
      </c>
      <c r="Z11" s="225" t="str">
        <f t="array" ref="Z11">IFERROR(INDEX('selected-lohe'!$B$1:$B$359,MATCH(1,(J11='selected-lohe'!$G$1:$G$357)*($K$3='selected-lohe'!$F$1:$F$357)*($C$1='selected-lohe'!$A$1:$A$357),0)),"")</f>
        <v/>
      </c>
      <c r="AA11" s="237" t="s">
        <v>27</v>
      </c>
      <c r="AB11" s="237"/>
      <c r="AC11" s="237" t="s">
        <v>27</v>
      </c>
      <c r="AD11" s="237"/>
      <c r="AE11" s="237" t="s">
        <v>86</v>
      </c>
      <c r="AF11" s="237" t="s">
        <v>170</v>
      </c>
      <c r="AG11" s="234"/>
      <c r="AH11" s="182"/>
      <c r="AJ11" s="182"/>
      <c r="AL11" s="182"/>
      <c r="AM11" s="182"/>
    </row>
    <row r="12" spans="1:52" ht="15.95" customHeight="1" x14ac:dyDescent="0.25">
      <c r="A12" s="237" t="s">
        <v>28</v>
      </c>
      <c r="B12" s="119" t="str">
        <f t="array" ref="B12">IFERROR(INDEX('selected-lohe'!$D$1:$D$359,MATCH(1,(A12='selected-lohe'!$G$1:$G$357)*($B$3='selected-lohe'!$F$1:$F$357)*($A$1='selected-lohe'!$A$1:$A$357),0))&amp;" "&amp;INDEX('selected-lohe'!$C$1:$C$359,MATCH(1,(A12='selected-lohe'!$G$1:$G$357)*($B$3='selected-lohe'!$F$1:$F$357)*($A$1='selected-lohe'!$A$1:$A$357),0)),"")</f>
        <v/>
      </c>
      <c r="C12" s="120" t="str">
        <f t="array" ref="C12">IFERROR(INDEX('selected-lohe'!$D$1:$D$359,MATCH(1,(A12='selected-lohe'!$G$1:$G$357)*($B$3='selected-lohe'!$F$1:$F$357)*($J$1='selected-lohe'!$A$1:$A$357),0))&amp;" "&amp;INDEX('selected-lohe'!$C$1:$C$359,MATCH(1,(A12='selected-lohe'!$G$1:$G$357)*($B$3='selected-lohe'!$F$1:$F$357)*($J$1='selected-lohe'!$A$1:$A$357),0)),"")</f>
        <v/>
      </c>
      <c r="D12" s="121"/>
      <c r="E12" s="121" t="str">
        <f t="array" ref="E12">IFERROR(INDEX('selected-lohe'!$D$1:$D$359,MATCH(1,(A12='selected-lohe'!$G$1:$G$357)*($B$3='selected-lohe'!$F$1:$F$357)*($C$1='selected-lohe'!$A$1:$A$357),0))&amp;" "&amp;INDEX('selected-lohe'!$C$1:$C$359,MATCH(1,(A12='selected-lohe'!$G$1:$G$357)*($B$3='selected-lohe'!$F$1:$F$357)*($C$1='selected-lohe'!$A$1:$A$357),0)),"")</f>
        <v/>
      </c>
      <c r="F12" s="122"/>
      <c r="G12" s="123"/>
      <c r="H12" s="124"/>
      <c r="I12" s="125"/>
      <c r="J12" s="237"/>
      <c r="K12" s="119" t="str">
        <f t="array" ref="K12">IFERROR(INDEX('selected-lohe'!$D$1:$D$359,MATCH(1,(J12='selected-lohe'!$G$1:$G$357)*($K$3='selected-lohe'!$F$1:$F$357)*($A$1='selected-lohe'!$A$1:$A$357),0))&amp;" "&amp;INDEX('selected-lohe'!$C$1:$C$359,MATCH(1,(J12='selected-lohe'!$G$1:$G$357)*($K$3='selected-lohe'!$F$1:$F$357)*($A$1='selected-lohe'!$A$1:$A$357),0)),"")</f>
        <v/>
      </c>
      <c r="L12" s="120" t="str">
        <f t="array" ref="L12">IFERROR(INDEX('selected-lohe'!$D$1:$D$359,MATCH(1,(J12='selected-lohe'!$G$1:$G$357)*($K$3='selected-lohe'!$F$1:$F$357)*($J$1='selected-lohe'!$A$1:$A$357),0))&amp;" "&amp;INDEX('selected-lohe'!$C$1:$C$359,MATCH(1,(J12='selected-lohe'!$G$1:$G$357)*($K$3='selected-lohe'!$F$1:$F$357)*($J$1='selected-lohe'!$A$1:$A$357),0)),"")</f>
        <v/>
      </c>
      <c r="M12" s="122"/>
      <c r="N12" s="121" t="str">
        <f t="array" ref="N12">IFERROR(INDEX('selected-lohe'!$D$1:$D$359,MATCH(1,(J12='selected-lohe'!$G$1:$G$357)*($K$3='selected-lohe'!$F$1:$F$357)*($C$1='selected-lohe'!$A$1:$A$357),0))&amp;" "&amp;INDEX('selected-lohe'!$C$1:$C$359,MATCH(1,(J12='selected-lohe'!$G$1:$G$357)*($K$3='selected-lohe'!$F$1:$F$357)*($C$1='selected-lohe'!$A$1:$A$357),0)),"")</f>
        <v/>
      </c>
      <c r="O12" s="122"/>
      <c r="P12" s="123"/>
      <c r="Q12" s="124"/>
      <c r="R12" s="94"/>
      <c r="S12" s="94"/>
      <c r="U12" s="92"/>
      <c r="W12" s="225" t="str">
        <f t="array" ref="W12">IFERROR(INDEX('selected-lohe'!$B$1:$B$359,MATCH(1,(A12='selected-lohe'!$G$1:$G$357)*($B$3='selected-lohe'!$F$1:$F$357)*($A$1='selected-lohe'!$A$1:$A$357),0)),"")</f>
        <v/>
      </c>
      <c r="X12" s="225" t="str">
        <f t="array" ref="X12">IFERROR(INDEX('selected-lohe'!$B$1:$B$359,MATCH(1,(A12='selected-lohe'!$G$1:$G$357)*($B$3='selected-lohe'!$F$1:$F$357)*($C$1='selected-lohe'!$A$1:$A$357),0)),"")</f>
        <v/>
      </c>
      <c r="Y12" s="225" t="str">
        <f t="array" ref="Y12">IFERROR(INDEX('selected-lohe'!$B$1:$B$359,MATCH(1,(J12='selected-lohe'!$G$1:$G$357)*($K$3='selected-lohe'!$F$1:$F$357)*($A$1='selected-lohe'!$A$1:$A$357),0)),"")</f>
        <v/>
      </c>
      <c r="Z12" s="225" t="str">
        <f t="array" ref="Z12">IFERROR(INDEX('selected-lohe'!$B$1:$B$359,MATCH(1,(J12='selected-lohe'!$G$1:$G$357)*($K$3='selected-lohe'!$F$1:$F$357)*($C$1='selected-lohe'!$A$1:$A$357),0)),"")</f>
        <v/>
      </c>
      <c r="AA12" s="237" t="s">
        <v>28</v>
      </c>
      <c r="AB12" s="237"/>
      <c r="AC12" s="237" t="s">
        <v>28</v>
      </c>
      <c r="AD12" s="237"/>
      <c r="AE12" s="237" t="s">
        <v>91</v>
      </c>
      <c r="AF12" s="237" t="s">
        <v>171</v>
      </c>
      <c r="AG12" s="234"/>
      <c r="AH12" s="182"/>
      <c r="AJ12" s="182"/>
      <c r="AL12" s="182"/>
      <c r="AM12" s="182"/>
    </row>
    <row r="13" spans="1:52" ht="15.95" customHeight="1" x14ac:dyDescent="0.25">
      <c r="A13" s="237" t="s">
        <v>29</v>
      </c>
      <c r="B13" s="119" t="str">
        <f t="array" ref="B13">IFERROR(INDEX('selected-lohe'!$D$1:$D$359,MATCH(1,(A13='selected-lohe'!$G$1:$G$357)*($B$3='selected-lohe'!$F$1:$F$357)*($A$1='selected-lohe'!$A$1:$A$357),0))&amp;" "&amp;INDEX('selected-lohe'!$C$1:$C$359,MATCH(1,(A13='selected-lohe'!$G$1:$G$357)*($B$3='selected-lohe'!$F$1:$F$357)*($A$1='selected-lohe'!$A$1:$A$357),0)),"")</f>
        <v/>
      </c>
      <c r="C13" s="120" t="str">
        <f t="array" ref="C13">IFERROR(INDEX('selected-lohe'!$D$1:$D$359,MATCH(1,(A13='selected-lohe'!$G$1:$G$357)*($B$3='selected-lohe'!$F$1:$F$357)*($J$1='selected-lohe'!$A$1:$A$357),0))&amp;" "&amp;INDEX('selected-lohe'!$C$1:$C$359,MATCH(1,(A13='selected-lohe'!$G$1:$G$357)*($B$3='selected-lohe'!$F$1:$F$357)*($J$1='selected-lohe'!$A$1:$A$357),0)),"")</f>
        <v/>
      </c>
      <c r="D13" s="121"/>
      <c r="E13" s="121" t="str">
        <f t="array" ref="E13">IFERROR(INDEX('selected-lohe'!$D$1:$D$359,MATCH(1,(A13='selected-lohe'!$G$1:$G$357)*($B$3='selected-lohe'!$F$1:$F$357)*($C$1='selected-lohe'!$A$1:$A$357),0))&amp;" "&amp;INDEX('selected-lohe'!$C$1:$C$359,MATCH(1,(A13='selected-lohe'!$G$1:$G$357)*($B$3='selected-lohe'!$F$1:$F$357)*($C$1='selected-lohe'!$A$1:$A$357),0)),"")</f>
        <v/>
      </c>
      <c r="F13" s="122"/>
      <c r="G13" s="123"/>
      <c r="H13" s="124"/>
      <c r="I13" s="125"/>
      <c r="J13" s="237"/>
      <c r="K13" s="119" t="str">
        <f t="array" ref="K13">IFERROR(INDEX('selected-lohe'!$D$1:$D$359,MATCH(1,(J13='selected-lohe'!$G$1:$G$357)*($K$3='selected-lohe'!$F$1:$F$357)*($A$1='selected-lohe'!$A$1:$A$357),0))&amp;" "&amp;INDEX('selected-lohe'!$C$1:$C$359,MATCH(1,(J13='selected-lohe'!$G$1:$G$357)*($K$3='selected-lohe'!$F$1:$F$357)*($A$1='selected-lohe'!$A$1:$A$357),0)),"")</f>
        <v/>
      </c>
      <c r="L13" s="120" t="str">
        <f t="array" ref="L13">IFERROR(INDEX('selected-lohe'!$D$1:$D$359,MATCH(1,(J13='selected-lohe'!$G$1:$G$357)*($K$3='selected-lohe'!$F$1:$F$357)*($J$1='selected-lohe'!$A$1:$A$357),0))&amp;" "&amp;INDEX('selected-lohe'!$C$1:$C$359,MATCH(1,(J13='selected-lohe'!$G$1:$G$357)*($K$3='selected-lohe'!$F$1:$F$357)*($J$1='selected-lohe'!$A$1:$A$357),0)),"")</f>
        <v/>
      </c>
      <c r="M13" s="122"/>
      <c r="N13" s="121" t="str">
        <f t="array" ref="N13">IFERROR(INDEX('selected-lohe'!$D$1:$D$359,MATCH(1,(J13='selected-lohe'!$G$1:$G$357)*($K$3='selected-lohe'!$F$1:$F$357)*($C$1='selected-lohe'!$A$1:$A$357),0))&amp;" "&amp;INDEX('selected-lohe'!$C$1:$C$359,MATCH(1,(J13='selected-lohe'!$G$1:$G$357)*($K$3='selected-lohe'!$F$1:$F$357)*($C$1='selected-lohe'!$A$1:$A$357),0)),"")</f>
        <v/>
      </c>
      <c r="O13" s="122"/>
      <c r="P13" s="123"/>
      <c r="Q13" s="124"/>
      <c r="R13" s="94"/>
      <c r="S13" s="94"/>
      <c r="U13" s="92"/>
      <c r="W13" s="225" t="str">
        <f t="array" ref="W13">IFERROR(INDEX('selected-lohe'!$B$1:$B$359,MATCH(1,(A13='selected-lohe'!$G$1:$G$357)*($B$3='selected-lohe'!$F$1:$F$357)*($A$1='selected-lohe'!$A$1:$A$357),0)),"")</f>
        <v/>
      </c>
      <c r="X13" s="225" t="str">
        <f t="array" ref="X13">IFERROR(INDEX('selected-lohe'!$B$1:$B$359,MATCH(1,(A13='selected-lohe'!$G$1:$G$357)*($B$3='selected-lohe'!$F$1:$F$357)*($C$1='selected-lohe'!$A$1:$A$357),0)),"")</f>
        <v/>
      </c>
      <c r="Y13" s="225" t="str">
        <f t="array" ref="Y13">IFERROR(INDEX('selected-lohe'!$B$1:$B$359,MATCH(1,(J13='selected-lohe'!$G$1:$G$357)*($K$3='selected-lohe'!$F$1:$F$357)*($A$1='selected-lohe'!$A$1:$A$357),0)),"")</f>
        <v/>
      </c>
      <c r="Z13" s="225" t="str">
        <f t="array" ref="Z13">IFERROR(INDEX('selected-lohe'!$B$1:$B$359,MATCH(1,(J13='selected-lohe'!$G$1:$G$357)*($K$3='selected-lohe'!$F$1:$F$357)*($C$1='selected-lohe'!$A$1:$A$357),0)),"")</f>
        <v/>
      </c>
      <c r="AA13" s="237" t="s">
        <v>29</v>
      </c>
      <c r="AB13" s="237"/>
      <c r="AC13" s="237" t="s">
        <v>29</v>
      </c>
      <c r="AD13" s="237"/>
      <c r="AE13" s="237" t="s">
        <v>94</v>
      </c>
      <c r="AF13" s="237" t="s">
        <v>97</v>
      </c>
      <c r="AG13" s="234"/>
      <c r="AH13" s="182"/>
      <c r="AJ13" s="182"/>
      <c r="AL13" s="182"/>
      <c r="AM13" s="182"/>
    </row>
    <row r="14" spans="1:52" ht="15.95" customHeight="1" x14ac:dyDescent="0.25">
      <c r="A14" s="237" t="s">
        <v>30</v>
      </c>
      <c r="B14" s="119" t="str">
        <f t="array" ref="B14">IFERROR(INDEX('selected-lohe'!$D$1:$D$359,MATCH(1,(A14='selected-lohe'!$G$1:$G$357)*($B$3='selected-lohe'!$F$1:$F$357)*($A$1='selected-lohe'!$A$1:$A$357),0))&amp;" "&amp;INDEX('selected-lohe'!$C$1:$C$359,MATCH(1,(A14='selected-lohe'!$G$1:$G$357)*($B$3='selected-lohe'!$F$1:$F$357)*($A$1='selected-lohe'!$A$1:$A$357),0)),"")</f>
        <v/>
      </c>
      <c r="C14" s="120" t="str">
        <f t="array" ref="C14">IFERROR(INDEX('selected-lohe'!$D$1:$D$359,MATCH(1,(A14='selected-lohe'!$G$1:$G$357)*($B$3='selected-lohe'!$F$1:$F$357)*($J$1='selected-lohe'!$A$1:$A$357),0))&amp;" "&amp;INDEX('selected-lohe'!$C$1:$C$359,MATCH(1,(A14='selected-lohe'!$G$1:$G$357)*($B$3='selected-lohe'!$F$1:$F$357)*($J$1='selected-lohe'!$A$1:$A$357),0)),"")</f>
        <v/>
      </c>
      <c r="D14" s="121"/>
      <c r="E14" s="121" t="str">
        <f t="array" ref="E14">IFERROR(INDEX('selected-lohe'!$D$1:$D$359,MATCH(1,(A14='selected-lohe'!$G$1:$G$357)*($B$3='selected-lohe'!$F$1:$F$357)*($C$1='selected-lohe'!$A$1:$A$357),0))&amp;" "&amp;INDEX('selected-lohe'!$C$1:$C$359,MATCH(1,(A14='selected-lohe'!$G$1:$G$357)*($B$3='selected-lohe'!$F$1:$F$357)*($C$1='selected-lohe'!$A$1:$A$357),0)),"")</f>
        <v/>
      </c>
      <c r="F14" s="122"/>
      <c r="G14" s="123"/>
      <c r="H14" s="124"/>
      <c r="I14" s="125"/>
      <c r="J14" s="237"/>
      <c r="K14" s="119" t="str">
        <f t="array" ref="K14">IFERROR(INDEX('selected-lohe'!$D$1:$D$359,MATCH(1,(J14='selected-lohe'!$G$1:$G$357)*($K$3='selected-lohe'!$F$1:$F$357)*($A$1='selected-lohe'!$A$1:$A$357),0))&amp;" "&amp;INDEX('selected-lohe'!$C$1:$C$359,MATCH(1,(J14='selected-lohe'!$G$1:$G$357)*($K$3='selected-lohe'!$F$1:$F$357)*($A$1='selected-lohe'!$A$1:$A$357),0)),"")</f>
        <v/>
      </c>
      <c r="L14" s="120" t="str">
        <f t="array" ref="L14">IFERROR(INDEX('selected-lohe'!$D$1:$D$359,MATCH(1,(J14='selected-lohe'!$G$1:$G$357)*($K$3='selected-lohe'!$F$1:$F$357)*($J$1='selected-lohe'!$A$1:$A$357),0))&amp;" "&amp;INDEX('selected-lohe'!$C$1:$C$359,MATCH(1,(J14='selected-lohe'!$G$1:$G$357)*($K$3='selected-lohe'!$F$1:$F$357)*($J$1='selected-lohe'!$A$1:$A$357),0)),"")</f>
        <v/>
      </c>
      <c r="M14" s="122"/>
      <c r="N14" s="121" t="str">
        <f t="array" ref="N14">IFERROR(INDEX('selected-lohe'!$D$1:$D$359,MATCH(1,(J14='selected-lohe'!$G$1:$G$357)*($K$3='selected-lohe'!$F$1:$F$357)*($C$1='selected-lohe'!$A$1:$A$357),0))&amp;" "&amp;INDEX('selected-lohe'!$C$1:$C$359,MATCH(1,(J14='selected-lohe'!$G$1:$G$357)*($K$3='selected-lohe'!$F$1:$F$357)*($C$1='selected-lohe'!$A$1:$A$357),0)),"")</f>
        <v/>
      </c>
      <c r="O14" s="122"/>
      <c r="P14" s="123"/>
      <c r="Q14" s="124"/>
      <c r="R14" s="94"/>
      <c r="S14" s="94"/>
      <c r="U14" s="92"/>
      <c r="W14" s="225" t="str">
        <f t="array" ref="W14">IFERROR(INDEX('selected-lohe'!$B$1:$B$359,MATCH(1,(A14='selected-lohe'!$G$1:$G$357)*($B$3='selected-lohe'!$F$1:$F$357)*($A$1='selected-lohe'!$A$1:$A$357),0)),"")</f>
        <v/>
      </c>
      <c r="X14" s="225" t="str">
        <f t="array" ref="X14">IFERROR(INDEX('selected-lohe'!$B$1:$B$359,MATCH(1,(A14='selected-lohe'!$G$1:$G$357)*($B$3='selected-lohe'!$F$1:$F$357)*($C$1='selected-lohe'!$A$1:$A$357),0)),"")</f>
        <v/>
      </c>
      <c r="Y14" s="225" t="str">
        <f t="array" ref="Y14">IFERROR(INDEX('selected-lohe'!$B$1:$B$359,MATCH(1,(J14='selected-lohe'!$G$1:$G$357)*($K$3='selected-lohe'!$F$1:$F$357)*($A$1='selected-lohe'!$A$1:$A$357),0)),"")</f>
        <v/>
      </c>
      <c r="Z14" s="225" t="str">
        <f t="array" ref="Z14">IFERROR(INDEX('selected-lohe'!$B$1:$B$359,MATCH(1,(J14='selected-lohe'!$G$1:$G$357)*($K$3='selected-lohe'!$F$1:$F$357)*($C$1='selected-lohe'!$A$1:$A$357),0)),"")</f>
        <v/>
      </c>
      <c r="AA14" s="237" t="s">
        <v>30</v>
      </c>
      <c r="AB14" s="237"/>
      <c r="AC14" s="237" t="s">
        <v>30</v>
      </c>
      <c r="AD14" s="237"/>
      <c r="AE14" s="237" t="s">
        <v>100</v>
      </c>
      <c r="AF14" s="237" t="s">
        <v>102</v>
      </c>
      <c r="AG14" s="234"/>
      <c r="AH14" s="182"/>
      <c r="AJ14" s="182"/>
      <c r="AL14" s="182"/>
      <c r="AM14" s="182"/>
    </row>
    <row r="15" spans="1:52" ht="15.95" customHeight="1" x14ac:dyDescent="0.25">
      <c r="A15" s="237" t="s">
        <v>68</v>
      </c>
      <c r="B15" s="119" t="str">
        <f t="array" ref="B15">IFERROR(INDEX('selected-lohe'!$D$1:$D$359,MATCH(1,(A15='selected-lohe'!$G$1:$G$357)*($B$3='selected-lohe'!$F$1:$F$357)*($A$1='selected-lohe'!$A$1:$A$357),0))&amp;" "&amp;INDEX('selected-lohe'!$C$1:$C$359,MATCH(1,(A15='selected-lohe'!$G$1:$G$357)*($B$3='selected-lohe'!$F$1:$F$357)*($A$1='selected-lohe'!$A$1:$A$357),0)),"")</f>
        <v/>
      </c>
      <c r="C15" s="120" t="str">
        <f t="array" ref="C15">IFERROR(INDEX('selected-lohe'!$D$1:$D$359,MATCH(1,(A15='selected-lohe'!$G$1:$G$357)*($B$3='selected-lohe'!$F$1:$F$357)*($J$1='selected-lohe'!$A$1:$A$357),0))&amp;" "&amp;INDEX('selected-lohe'!$C$1:$C$359,MATCH(1,(A15='selected-lohe'!$G$1:$G$357)*($B$3='selected-lohe'!$F$1:$F$357)*($J$1='selected-lohe'!$A$1:$A$357),0)),"")</f>
        <v/>
      </c>
      <c r="D15" s="121"/>
      <c r="E15" s="166" t="str">
        <f t="array" ref="E15">IFERROR(INDEX('selected-lohe'!$D$1:$D$359,MATCH(1,(A15='selected-lohe'!$G$1:$G$357)*($B$3='selected-lohe'!$F$1:$F$357)*($C$1='selected-lohe'!$A$1:$A$357),0))&amp;" "&amp;INDEX('selected-lohe'!$C$1:$C$359,MATCH(1,(A15='selected-lohe'!$G$1:$G$357)*($B$3='selected-lohe'!$F$1:$F$357)*($C$1='selected-lohe'!$A$1:$A$357),0)),"")</f>
        <v/>
      </c>
      <c r="F15" s="122"/>
      <c r="G15" s="123"/>
      <c r="H15" s="124"/>
      <c r="I15" s="125"/>
      <c r="J15" s="237" t="s">
        <v>34</v>
      </c>
      <c r="K15" s="174" t="str">
        <f t="array" ref="K15">IFERROR(INDEX('selected-lohe'!$D$1:$D$359,MATCH(1,(J15='selected-lohe'!$G$1:$G$357)*($K$3='selected-lohe'!$F$1:$F$357)*($A$1='selected-lohe'!$A$1:$A$357),0))&amp;" "&amp;INDEX('selected-lohe'!$C$1:$C$359,MATCH(1,(J15='selected-lohe'!$G$1:$G$357)*($K$3='selected-lohe'!$F$1:$F$357)*($A$1='selected-lohe'!$A$1:$A$357),0)),"")</f>
        <v/>
      </c>
      <c r="L15" s="120" t="str">
        <f t="array" ref="L15">IFERROR(INDEX('selected-lohe'!$D$1:$D$359,MATCH(1,(J15='selected-lohe'!$G$1:$G$357)*($K$3='selected-lohe'!$F$1:$F$357)*($J$1='selected-lohe'!$A$1:$A$357),0))&amp;" "&amp;INDEX('selected-lohe'!$C$1:$C$359,MATCH(1,(J15='selected-lohe'!$G$1:$G$357)*($K$3='selected-lohe'!$F$1:$F$357)*($J$1='selected-lohe'!$A$1:$A$357),0)),"")</f>
        <v/>
      </c>
      <c r="M15" s="122"/>
      <c r="N15" s="176" t="str">
        <f t="array" ref="N15">IFERROR(INDEX('selected-lohe'!$D$1:$D$359,MATCH(1,(J15='selected-lohe'!$G$1:$G$357)*($K$3='selected-lohe'!$F$1:$F$357)*($C$1='selected-lohe'!$A$1:$A$357),0))&amp;" "&amp;INDEX('selected-lohe'!$C$1:$C$359,MATCH(1,(J15='selected-lohe'!$G$1:$G$357)*($K$3='selected-lohe'!$F$1:$F$357)*($C$1='selected-lohe'!$A$1:$A$357),0)),"")</f>
        <v/>
      </c>
      <c r="O15" s="122"/>
      <c r="P15" s="123"/>
      <c r="Q15" s="124"/>
      <c r="R15" s="94"/>
      <c r="S15" s="94"/>
      <c r="U15" s="92"/>
      <c r="W15" s="225" t="str">
        <f t="array" ref="W15">IFERROR(INDEX('selected-lohe'!$B$1:$B$359,MATCH(1,(A15='selected-lohe'!$G$1:$G$357)*($B$3='selected-lohe'!$F$1:$F$357)*($A$1='selected-lohe'!$A$1:$A$357),0)),"")</f>
        <v/>
      </c>
      <c r="X15" s="225" t="str">
        <f t="array" ref="X15">IFERROR(INDEX('selected-lohe'!$B$1:$B$359,MATCH(1,(A15='selected-lohe'!$G$1:$G$357)*($B$3='selected-lohe'!$F$1:$F$357)*($C$1='selected-lohe'!$A$1:$A$357),0)),"")</f>
        <v/>
      </c>
      <c r="Y15" s="225" t="str">
        <f t="array" ref="Y15">IFERROR(INDEX('selected-lohe'!$B$1:$B$359,MATCH(1,(J15='selected-lohe'!$G$1:$G$357)*($K$3='selected-lohe'!$F$1:$F$357)*($A$1='selected-lohe'!$A$1:$A$357),0)),"")</f>
        <v/>
      </c>
      <c r="Z15" s="225" t="str">
        <f t="array" ref="Z15">IFERROR(INDEX('selected-lohe'!$B$1:$B$359,MATCH(1,(J15='selected-lohe'!$G$1:$G$357)*($K$3='selected-lohe'!$F$1:$F$357)*($C$1='selected-lohe'!$A$1:$A$357),0)),"")</f>
        <v/>
      </c>
      <c r="AA15" s="237" t="s">
        <v>32</v>
      </c>
      <c r="AB15" s="237"/>
      <c r="AC15" s="237" t="s">
        <v>68</v>
      </c>
      <c r="AD15" s="237" t="s">
        <v>34</v>
      </c>
      <c r="AE15" s="237" t="s">
        <v>103</v>
      </c>
      <c r="AF15" s="237" t="s">
        <v>38</v>
      </c>
      <c r="AG15" s="234"/>
      <c r="AH15" s="182"/>
      <c r="AJ15" s="182"/>
      <c r="AK15" s="182"/>
      <c r="AL15" s="182"/>
      <c r="AM15" s="182"/>
    </row>
    <row r="16" spans="1:52" ht="15.95" customHeight="1" x14ac:dyDescent="0.25">
      <c r="A16" s="237" t="s">
        <v>33</v>
      </c>
      <c r="B16" s="167" t="str">
        <f t="array" ref="B16">IFERROR(INDEX('selected-lohe'!$D$1:$D$359,MATCH(1,(A16='selected-lohe'!$G$1:$G$357)*($B$3='selected-lohe'!$F$1:$F$357)*($A$1='selected-lohe'!$A$1:$A$357),0))&amp;" "&amp;INDEX('selected-lohe'!$C$1:$C$359,MATCH(1,(A16='selected-lohe'!$G$1:$G$357)*($B$3='selected-lohe'!$F$1:$F$357)*($A$1='selected-lohe'!$A$1:$A$357),0)),"")</f>
        <v/>
      </c>
      <c r="C16" s="120" t="str">
        <f t="array" ref="C16">IFERROR(INDEX('selected-lohe'!$D$1:$D$359,MATCH(1,(A16='selected-lohe'!$G$1:$G$357)*($B$3='selected-lohe'!$F$1:$F$357)*($J$1='selected-lohe'!$A$1:$A$357),0))&amp;" "&amp;INDEX('selected-lohe'!$C$1:$C$359,MATCH(1,(A16='selected-lohe'!$G$1:$G$357)*($B$3='selected-lohe'!$F$1:$F$357)*($J$1='selected-lohe'!$A$1:$A$357),0)),"")</f>
        <v/>
      </c>
      <c r="D16" s="121"/>
      <c r="E16" s="121" t="str">
        <f t="array" ref="E16">IFERROR(INDEX('selected-lohe'!$D$1:$D$359,MATCH(1,(A16='selected-lohe'!$G$1:$G$357)*($B$3='selected-lohe'!$F$1:$F$357)*($C$1='selected-lohe'!$A$1:$A$357),0))&amp;" "&amp;INDEX('selected-lohe'!$C$1:$C$359,MATCH(1,(A16='selected-lohe'!$G$1:$G$357)*($B$3='selected-lohe'!$F$1:$F$357)*($C$1='selected-lohe'!$A$1:$A$357),0)),"")</f>
        <v/>
      </c>
      <c r="F16" s="122"/>
      <c r="G16" s="123"/>
      <c r="H16" s="124"/>
      <c r="I16" s="125"/>
      <c r="J16" s="237"/>
      <c r="K16" s="190" t="str">
        <f t="array" ref="K16">IFERROR(INDEX('selected-lohe'!$D$1:$D$359,MATCH(1,(J16='selected-lohe'!$G$1:$G$357)*($K$3='selected-lohe'!$F$1:$F$357)*($A$1='selected-lohe'!$A$1:$A$357),0))&amp;" "&amp;INDEX('selected-lohe'!$C$1:$C$359,MATCH(1,(J16='selected-lohe'!$G$1:$G$357)*($K$3='selected-lohe'!$F$1:$F$357)*($A$1='selected-lohe'!$A$1:$A$357),0)),"")</f>
        <v/>
      </c>
      <c r="L16" s="165" t="str">
        <f t="array" ref="L16">IFERROR(INDEX('selected-lohe'!$D$1:$D$359,MATCH(1,(J16='selected-lohe'!$G$1:$G$357)*($K$3='selected-lohe'!$F$1:$F$357)*($J$1='selected-lohe'!$A$1:$A$357),0))&amp;" "&amp;INDEX('selected-lohe'!$C$1:$C$359,MATCH(1,(J16='selected-lohe'!$G$1:$G$357)*($K$3='selected-lohe'!$F$1:$F$357)*($J$1='selected-lohe'!$A$1:$A$357),0)),"")</f>
        <v/>
      </c>
      <c r="M16" s="122"/>
      <c r="N16" s="191" t="str">
        <f t="array" ref="N16">IFERROR(INDEX('selected-lohe'!$D$1:$D$359,MATCH(1,(J16='selected-lohe'!$G$1:$G$357)*($K$3='selected-lohe'!$F$1:$F$357)*($C$1='selected-lohe'!$A$1:$A$357),0))&amp;" "&amp;INDEX('selected-lohe'!$C$1:$C$359,MATCH(1,(J16='selected-lohe'!$G$1:$G$357)*($K$3='selected-lohe'!$F$1:$F$357)*($C$1='selected-lohe'!$A$1:$A$357),0)),"")</f>
        <v/>
      </c>
      <c r="O16" s="122"/>
      <c r="P16" s="123"/>
      <c r="Q16" s="124"/>
      <c r="R16" s="94"/>
      <c r="S16" s="94"/>
      <c r="U16" s="92"/>
      <c r="W16" s="225" t="str">
        <f t="array" ref="W16">IFERROR(INDEX('selected-lohe'!$B$1:$B$359,MATCH(1,(A16='selected-lohe'!$G$1:$G$357)*($B$3='selected-lohe'!$F$1:$F$357)*($A$1='selected-lohe'!$A$1:$A$357),0)),"")</f>
        <v/>
      </c>
      <c r="X16" s="225" t="str">
        <f t="array" ref="X16">IFERROR(INDEX('selected-lohe'!$B$1:$B$359,MATCH(1,(A16='selected-lohe'!$G$1:$G$357)*($B$3='selected-lohe'!$F$1:$F$357)*($C$1='selected-lohe'!$A$1:$A$357),0)),"")</f>
        <v/>
      </c>
      <c r="Y16" s="225" t="str">
        <f t="array" ref="Y16">IFERROR(INDEX('selected-lohe'!$B$1:$B$359,MATCH(1,(J16='selected-lohe'!$G$1:$G$357)*($K$3='selected-lohe'!$F$1:$F$357)*($A$1='selected-lohe'!$A$1:$A$357),0)),"")</f>
        <v/>
      </c>
      <c r="Z16" s="225" t="str">
        <f t="array" ref="Z16">IFERROR(INDEX('selected-lohe'!$B$1:$B$359,MATCH(1,(J16='selected-lohe'!$G$1:$G$357)*($K$3='selected-lohe'!$F$1:$F$357)*($C$1='selected-lohe'!$A$1:$A$357),0)),"")</f>
        <v/>
      </c>
      <c r="AA16" s="237" t="s">
        <v>33</v>
      </c>
      <c r="AB16" s="237" t="s">
        <v>33</v>
      </c>
      <c r="AC16" s="237" t="s">
        <v>33</v>
      </c>
      <c r="AD16" s="237"/>
      <c r="AE16" s="237" t="s">
        <v>106</v>
      </c>
      <c r="AF16" s="237" t="s">
        <v>108</v>
      </c>
      <c r="AG16" s="234"/>
      <c r="AH16" s="182"/>
      <c r="AI16" s="182"/>
      <c r="AJ16" s="182"/>
      <c r="AK16" s="182"/>
      <c r="AL16" s="182"/>
      <c r="AM16" s="182"/>
    </row>
    <row r="17" spans="1:39" ht="15.95" customHeight="1" x14ac:dyDescent="0.25">
      <c r="A17" s="237"/>
      <c r="B17" s="119" t="str">
        <f t="array" ref="B17">IFERROR(INDEX('selected-lohe'!$D$1:$D$359,MATCH(1,(A17='selected-lohe'!$G$1:$G$357)*($B$3='selected-lohe'!$F$1:$F$357)*($A$1='selected-lohe'!$A$1:$A$357),0))&amp;" "&amp;INDEX('selected-lohe'!$C$1:$C$359,MATCH(1,(A17='selected-lohe'!$G$1:$G$357)*($B$3='selected-lohe'!$F$1:$F$357)*($A$1='selected-lohe'!$A$1:$A$357),0)),"")</f>
        <v/>
      </c>
      <c r="C17" s="120" t="str">
        <f t="array" ref="C17">IFERROR(INDEX('selected-lohe'!$D$1:$D$359,MATCH(1,(A17='selected-lohe'!$G$1:$G$357)*($B$3='selected-lohe'!$F$1:$F$357)*($J$1='selected-lohe'!$A$1:$A$357),0))&amp;" "&amp;INDEX('selected-lohe'!$C$1:$C$359,MATCH(1,(A17='selected-lohe'!$G$1:$G$357)*($B$3='selected-lohe'!$F$1:$F$357)*($J$1='selected-lohe'!$A$1:$A$357),0)),"")</f>
        <v/>
      </c>
      <c r="D17" s="121"/>
      <c r="E17" s="121" t="str">
        <f t="array" ref="E17">IFERROR(INDEX('selected-lohe'!$D$1:$D$359,MATCH(1,(A17='selected-lohe'!$G$1:$G$357)*($B$3='selected-lohe'!$F$1:$F$357)*($C$1='selected-lohe'!$A$1:$A$357),0))&amp;" "&amp;INDEX('selected-lohe'!$C$1:$C$359,MATCH(1,(A17='selected-lohe'!$G$1:$G$357)*($B$3='selected-lohe'!$F$1:$F$357)*($C$1='selected-lohe'!$A$1:$A$357),0)),"")</f>
        <v/>
      </c>
      <c r="F17" s="122"/>
      <c r="G17" s="123"/>
      <c r="H17" s="124"/>
      <c r="I17" s="125"/>
      <c r="J17" s="237"/>
      <c r="K17" s="173" t="str">
        <f t="array" ref="K17">IFERROR(INDEX('selected-lohe'!$D$1:$D$359,MATCH(1,(J17='selected-lohe'!$G$1:$G$357)*($K$3='selected-lohe'!$F$1:$F$357)*($A$1='selected-lohe'!$A$1:$A$357),0))&amp;" "&amp;INDEX('selected-lohe'!$C$1:$C$359,MATCH(1,(J17='selected-lohe'!$G$1:$G$357)*($K$3='selected-lohe'!$F$1:$F$357)*($A$1='selected-lohe'!$A$1:$A$357),0)),"")</f>
        <v/>
      </c>
      <c r="L17" s="120" t="str">
        <f t="array" ref="L17">IFERROR(INDEX('selected-lohe'!$D$1:$D$359,MATCH(1,(J17='selected-lohe'!$G$1:$G$357)*($K$3='selected-lohe'!$F$1:$F$357)*($J$1='selected-lohe'!$A$1:$A$357),0))&amp;" "&amp;INDEX('selected-lohe'!$C$1:$C$359,MATCH(1,(J17='selected-lohe'!$G$1:$G$357)*($K$3='selected-lohe'!$F$1:$F$357)*($J$1='selected-lohe'!$A$1:$A$357),0)),"")</f>
        <v/>
      </c>
      <c r="M17" s="122"/>
      <c r="N17" s="177" t="str">
        <f t="array" ref="N17">IFERROR(INDEX('selected-lohe'!$D$1:$D$359,MATCH(1,(J17='selected-lohe'!$G$1:$G$357)*($K$3='selected-lohe'!$F$1:$F$357)*($C$1='selected-lohe'!$A$1:$A$357),0))&amp;" "&amp;INDEX('selected-lohe'!$C$1:$C$359,MATCH(1,(J17='selected-lohe'!$G$1:$G$357)*($K$3='selected-lohe'!$F$1:$F$357)*($C$1='selected-lohe'!$A$1:$A$357),0)),"")</f>
        <v/>
      </c>
      <c r="O17" s="122"/>
      <c r="P17" s="123"/>
      <c r="Q17" s="124"/>
      <c r="R17" s="94"/>
      <c r="S17" s="94"/>
      <c r="U17" s="228"/>
      <c r="W17" s="225" t="str">
        <f t="array" ref="W17">IFERROR(INDEX('selected-lohe'!$B$1:$B$359,MATCH(1,(A17='selected-lohe'!$G$1:$G$357)*($B$3='selected-lohe'!$F$1:$F$357)*($A$1='selected-lohe'!$A$1:$A$357),0)),"")</f>
        <v/>
      </c>
      <c r="X17" s="225" t="str">
        <f t="array" ref="X17">IFERROR(INDEX('selected-lohe'!$B$1:$B$359,MATCH(1,(A17='selected-lohe'!$G$1:$G$357)*($B$3='selected-lohe'!$F$1:$F$357)*($C$1='selected-lohe'!$A$1:$A$357),0)),"")</f>
        <v/>
      </c>
      <c r="Y17" s="225" t="str">
        <f t="array" ref="Y17">IFERROR(INDEX('selected-lohe'!$B$1:$B$359,MATCH(1,(J17='selected-lohe'!$G$1:$G$357)*($K$3='selected-lohe'!$F$1:$F$357)*($A$1='selected-lohe'!$A$1:$A$357),0)),"")</f>
        <v/>
      </c>
      <c r="Z17" s="225" t="str">
        <f t="array" ref="Z17">IFERROR(INDEX('selected-lohe'!$B$1:$B$359,MATCH(1,(J17='selected-lohe'!$G$1:$G$357)*($K$3='selected-lohe'!$F$1:$F$357)*($C$1='selected-lohe'!$A$1:$A$357),0)),"")</f>
        <v/>
      </c>
      <c r="AA17" s="237" t="s">
        <v>36</v>
      </c>
      <c r="AB17" s="237"/>
      <c r="AC17" s="237"/>
      <c r="AD17" s="237"/>
      <c r="AE17" s="237" t="s">
        <v>109</v>
      </c>
      <c r="AF17" s="237" t="s">
        <v>111</v>
      </c>
      <c r="AG17" s="234"/>
      <c r="AH17" s="182"/>
      <c r="AL17" s="182"/>
      <c r="AM17" s="182"/>
    </row>
    <row r="18" spans="1:39" ht="15.95" customHeight="1" x14ac:dyDescent="0.25">
      <c r="A18" s="237" t="s">
        <v>34</v>
      </c>
      <c r="B18" s="119" t="str">
        <f t="array" ref="B18">IFERROR(INDEX('selected-lohe'!$D$1:$D$359,MATCH(1,(A18='selected-lohe'!$G$1:$G$357)*($B$3='selected-lohe'!$F$1:$F$357)*($A$1='selected-lohe'!$A$1:$A$357),0))&amp;" "&amp;INDEX('selected-lohe'!$C$1:$C$359,MATCH(1,(A18='selected-lohe'!$G$1:$G$357)*($B$3='selected-lohe'!$F$1:$F$357)*($A$1='selected-lohe'!$A$1:$A$357),0)),"")</f>
        <v/>
      </c>
      <c r="C18" s="120" t="str">
        <f t="array" ref="C18">IFERROR(INDEX('selected-lohe'!$D$1:$D$359,MATCH(1,(A18='selected-lohe'!$G$1:$G$357)*($B$3='selected-lohe'!$F$1:$F$357)*($J$1='selected-lohe'!$A$1:$A$357),0))&amp;" "&amp;INDEX('selected-lohe'!$C$1:$C$359,MATCH(1,(A18='selected-lohe'!$G$1:$G$357)*($B$3='selected-lohe'!$F$1:$F$357)*($J$1='selected-lohe'!$A$1:$A$357),0)),"")</f>
        <v/>
      </c>
      <c r="D18" s="121"/>
      <c r="E18" s="121" t="str">
        <f t="array" ref="E18">IFERROR(INDEX('selected-lohe'!$D$1:$D$359,MATCH(1,(A18='selected-lohe'!$G$1:$G$357)*($B$3='selected-lohe'!$F$1:$F$357)*($C$1='selected-lohe'!$A$1:$A$357),0))&amp;" "&amp;INDEX('selected-lohe'!$C$1:$C$359,MATCH(1,(A18='selected-lohe'!$G$1:$G$357)*($B$3='selected-lohe'!$F$1:$F$357)*($C$1='selected-lohe'!$A$1:$A$357),0)),"")</f>
        <v/>
      </c>
      <c r="F18" s="122"/>
      <c r="G18" s="123"/>
      <c r="H18" s="124"/>
      <c r="I18" s="125"/>
      <c r="J18" s="237"/>
      <c r="K18" s="119" t="str">
        <f t="array" ref="K18">IFERROR(INDEX('selected-lohe'!$D$1:$D$359,MATCH(1,(J18='selected-lohe'!$G$1:$G$357)*($K$3='selected-lohe'!$F$1:$F$357)*($A$1='selected-lohe'!$A$1:$A$357),0))&amp;" "&amp;INDEX('selected-lohe'!$C$1:$C$359,MATCH(1,(J18='selected-lohe'!$G$1:$G$357)*($K$3='selected-lohe'!$F$1:$F$357)*($A$1='selected-lohe'!$A$1:$A$357),0)),"")</f>
        <v/>
      </c>
      <c r="L18" s="120" t="str">
        <f t="array" ref="L18">IFERROR(INDEX('selected-lohe'!$D$1:$D$359,MATCH(1,(J18='selected-lohe'!$G$1:$G$357)*($K$3='selected-lohe'!$F$1:$F$357)*($J$1='selected-lohe'!$A$1:$A$357),0))&amp;" "&amp;INDEX('selected-lohe'!$C$1:$C$359,MATCH(1,(J18='selected-lohe'!$G$1:$G$357)*($K$3='selected-lohe'!$F$1:$F$357)*($J$1='selected-lohe'!$A$1:$A$357),0)),"")</f>
        <v/>
      </c>
      <c r="M18" s="122"/>
      <c r="N18" s="121" t="str">
        <f t="array" ref="N18">IFERROR(INDEX('selected-lohe'!$D$1:$D$359,MATCH(1,(J18='selected-lohe'!$G$1:$G$357)*($K$3='selected-lohe'!$F$1:$F$357)*($C$1='selected-lohe'!$A$1:$A$357),0))&amp;" "&amp;INDEX('selected-lohe'!$C$1:$C$359,MATCH(1,(J18='selected-lohe'!$G$1:$G$357)*($K$3='selected-lohe'!$F$1:$F$357)*($C$1='selected-lohe'!$A$1:$A$357),0)),"")</f>
        <v/>
      </c>
      <c r="O18" s="122"/>
      <c r="P18" s="123"/>
      <c r="Q18" s="124"/>
      <c r="R18" s="94"/>
      <c r="S18" s="94"/>
      <c r="U18" s="228"/>
      <c r="W18" s="225" t="str">
        <f t="array" ref="W18">IFERROR(INDEX('selected-lohe'!$B$1:$B$359,MATCH(1,(A18='selected-lohe'!$G$1:$G$357)*($B$3='selected-lohe'!$F$1:$F$357)*($A$1='selected-lohe'!$A$1:$A$357),0)),"")</f>
        <v/>
      </c>
      <c r="X18" s="225" t="str">
        <f t="array" ref="X18">IFERROR(INDEX('selected-lohe'!$B$1:$B$359,MATCH(1,(A18='selected-lohe'!$G$1:$G$357)*($B$3='selected-lohe'!$F$1:$F$357)*($C$1='selected-lohe'!$A$1:$A$357),0)),"")</f>
        <v/>
      </c>
      <c r="Y18" s="225" t="str">
        <f t="array" ref="Y18">IFERROR(INDEX('selected-lohe'!$B$1:$B$359,MATCH(1,(J18='selected-lohe'!$G$1:$G$357)*($K$3='selected-lohe'!$F$1:$F$357)*($A$1='selected-lohe'!$A$1:$A$357),0)),"")</f>
        <v/>
      </c>
      <c r="Z18" s="225" t="str">
        <f t="array" ref="Z18">IFERROR(INDEX('selected-lohe'!$B$1:$B$359,MATCH(1,(J18='selected-lohe'!$G$1:$G$357)*($K$3='selected-lohe'!$F$1:$F$357)*($C$1='selected-lohe'!$A$1:$A$357),0)),"")</f>
        <v/>
      </c>
      <c r="AA18" s="237"/>
      <c r="AB18" s="237"/>
      <c r="AC18" s="237" t="s">
        <v>34</v>
      </c>
      <c r="AD18" s="237"/>
      <c r="AE18" s="237" t="s">
        <v>112</v>
      </c>
      <c r="AF18" s="237" t="s">
        <v>113</v>
      </c>
      <c r="AG18" s="234"/>
      <c r="AJ18" s="182"/>
      <c r="AL18" s="182"/>
      <c r="AM18" s="182"/>
    </row>
    <row r="19" spans="1:39" ht="15.95" customHeight="1" x14ac:dyDescent="0.25">
      <c r="A19" s="237" t="s">
        <v>36</v>
      </c>
      <c r="B19" s="119" t="str">
        <f t="array" ref="B19">IFERROR(INDEX('selected-lohe'!$D$1:$D$359,MATCH(1,(A19='selected-lohe'!$G$1:$G$357)*($B$3='selected-lohe'!$F$1:$F$357)*($A$1='selected-lohe'!$A$1:$A$357),0))&amp;" "&amp;INDEX('selected-lohe'!$C$1:$C$359,MATCH(1,(A19='selected-lohe'!$G$1:$G$357)*($B$3='selected-lohe'!$F$1:$F$357)*($A$1='selected-lohe'!$A$1:$A$357),0)),"")</f>
        <v/>
      </c>
      <c r="C19" s="120" t="str">
        <f t="array" ref="C19">IFERROR(INDEX('selected-lohe'!$D$1:$D$359,MATCH(1,(A19='selected-lohe'!$G$1:$G$357)*($B$3='selected-lohe'!$F$1:$F$357)*($J$1='selected-lohe'!$A$1:$A$357),0))&amp;" "&amp;INDEX('selected-lohe'!$C$1:$C$359,MATCH(1,(A19='selected-lohe'!$G$1:$G$357)*($B$3='selected-lohe'!$F$1:$F$357)*($J$1='selected-lohe'!$A$1:$A$357),0)),"")</f>
        <v/>
      </c>
      <c r="D19" s="121"/>
      <c r="E19" s="121" t="str">
        <f t="array" ref="E19">IFERROR(INDEX('selected-lohe'!$D$1:$D$359,MATCH(1,(A19='selected-lohe'!$G$1:$G$357)*($B$3='selected-lohe'!$F$1:$F$357)*($C$1='selected-lohe'!$A$1:$A$357),0))&amp;" "&amp;INDEX('selected-lohe'!$C$1:$C$359,MATCH(1,(A19='selected-lohe'!$G$1:$G$357)*($B$3='selected-lohe'!$F$1:$F$357)*($C$1='selected-lohe'!$A$1:$A$357),0)),"")</f>
        <v/>
      </c>
      <c r="F19" s="122"/>
      <c r="G19" s="123"/>
      <c r="H19" s="124"/>
      <c r="I19" s="125"/>
      <c r="J19" s="237"/>
      <c r="K19" s="119" t="str">
        <f t="array" ref="K19">IFERROR(INDEX('selected-lohe'!$D$1:$D$359,MATCH(1,(J19='selected-lohe'!$G$1:$G$357)*($K$3='selected-lohe'!$F$1:$F$357)*($A$1='selected-lohe'!$A$1:$A$357),0))&amp;" "&amp;INDEX('selected-lohe'!$C$1:$C$359,MATCH(1,(J19='selected-lohe'!$G$1:$G$357)*($K$3='selected-lohe'!$F$1:$F$357)*($A$1='selected-lohe'!$A$1:$A$357),0)),"")</f>
        <v/>
      </c>
      <c r="L19" s="120" t="str">
        <f t="array" ref="L19">IFERROR(INDEX('selected-lohe'!$D$1:$D$359,MATCH(1,(J19='selected-lohe'!$G$1:$G$357)*($K$3='selected-lohe'!$F$1:$F$357)*($J$1='selected-lohe'!$A$1:$A$357),0))&amp;" "&amp;INDEX('selected-lohe'!$C$1:$C$359,MATCH(1,(J19='selected-lohe'!$G$1:$G$357)*($K$3='selected-lohe'!$F$1:$F$357)*($J$1='selected-lohe'!$A$1:$A$357),0)),"")</f>
        <v/>
      </c>
      <c r="M19" s="122"/>
      <c r="N19" s="121" t="str">
        <f t="array" ref="N19">IFERROR(INDEX('selected-lohe'!$D$1:$D$359,MATCH(1,(J19='selected-lohe'!$G$1:$G$357)*($K$3='selected-lohe'!$F$1:$F$357)*($C$1='selected-lohe'!$A$1:$A$357),0))&amp;" "&amp;INDEX('selected-lohe'!$C$1:$C$359,MATCH(1,(J19='selected-lohe'!$G$1:$G$357)*($K$3='selected-lohe'!$F$1:$F$357)*($C$1='selected-lohe'!$A$1:$A$357),0)),"")</f>
        <v/>
      </c>
      <c r="O19" s="122"/>
      <c r="P19" s="123"/>
      <c r="Q19" s="124"/>
      <c r="R19" s="94"/>
      <c r="S19" s="94"/>
      <c r="U19" s="228"/>
      <c r="W19" s="225" t="str">
        <f t="array" ref="W19">IFERROR(INDEX('selected-lohe'!$B$1:$B$359,MATCH(1,(A19='selected-lohe'!$G$1:$G$357)*($B$3='selected-lohe'!$F$1:$F$357)*($A$1='selected-lohe'!$A$1:$A$357),0)),"")</f>
        <v/>
      </c>
      <c r="X19" s="225" t="str">
        <f t="array" ref="X19">IFERROR(INDEX('selected-lohe'!$B$1:$B$359,MATCH(1,(A19='selected-lohe'!$G$1:$G$357)*($B$3='selected-lohe'!$F$1:$F$357)*($C$1='selected-lohe'!$A$1:$A$357),0)),"")</f>
        <v/>
      </c>
      <c r="Y19" s="225" t="str">
        <f t="array" ref="Y19">IFERROR(INDEX('selected-lohe'!$B$1:$B$359,MATCH(1,(J19='selected-lohe'!$G$1:$G$357)*($K$3='selected-lohe'!$F$1:$F$357)*($A$1='selected-lohe'!$A$1:$A$357),0)),"")</f>
        <v/>
      </c>
      <c r="Z19" s="225" t="str">
        <f t="array" ref="Z19">IFERROR(INDEX('selected-lohe'!$B$1:$B$359,MATCH(1,(J19='selected-lohe'!$G$1:$G$357)*($K$3='selected-lohe'!$F$1:$F$357)*($C$1='selected-lohe'!$A$1:$A$357),0)),"")</f>
        <v/>
      </c>
      <c r="AA19" s="237" t="s">
        <v>37</v>
      </c>
      <c r="AB19" s="237" t="s">
        <v>80</v>
      </c>
      <c r="AC19" s="237" t="s">
        <v>36</v>
      </c>
      <c r="AD19" s="237"/>
      <c r="AE19" s="237" t="s">
        <v>39</v>
      </c>
      <c r="AF19" s="237" t="s">
        <v>40</v>
      </c>
      <c r="AG19" s="234"/>
      <c r="AH19" s="182"/>
      <c r="AJ19" s="182"/>
      <c r="AL19" s="182"/>
      <c r="AM19" s="182"/>
    </row>
    <row r="20" spans="1:39" ht="15.95" customHeight="1" x14ac:dyDescent="0.25">
      <c r="A20" s="237" t="s">
        <v>37</v>
      </c>
      <c r="B20" s="119" t="str">
        <f t="array" ref="B20">IFERROR(INDEX('selected-lohe'!$D$1:$D$359,MATCH(1,(A20='selected-lohe'!$G$1:$G$357)*($B$3='selected-lohe'!$F$1:$F$357)*($A$1='selected-lohe'!$A$1:$A$357),0))&amp;" "&amp;INDEX('selected-lohe'!$C$1:$C$359,MATCH(1,(A20='selected-lohe'!$G$1:$G$357)*($B$3='selected-lohe'!$F$1:$F$357)*($A$1='selected-lohe'!$A$1:$A$357),0)),"")</f>
        <v/>
      </c>
      <c r="C20" s="120" t="str">
        <f t="array" ref="C20">IFERROR(INDEX('selected-lohe'!$D$1:$D$359,MATCH(1,(A20='selected-lohe'!$G$1:$G$357)*($B$3='selected-lohe'!$F$1:$F$357)*($J$1='selected-lohe'!$A$1:$A$357),0))&amp;" "&amp;INDEX('selected-lohe'!$C$1:$C$359,MATCH(1,(A20='selected-lohe'!$G$1:$G$357)*($B$3='selected-lohe'!$F$1:$F$357)*($J$1='selected-lohe'!$A$1:$A$357),0)),"")</f>
        <v/>
      </c>
      <c r="D20" s="121"/>
      <c r="E20" s="121" t="str">
        <f t="array" ref="E20">IFERROR(INDEX('selected-lohe'!$D$1:$D$359,MATCH(1,(A20='selected-lohe'!$G$1:$G$357)*($B$3='selected-lohe'!$F$1:$F$357)*($C$1='selected-lohe'!$A$1:$A$357),0))&amp;" "&amp;INDEX('selected-lohe'!$C$1:$C$359,MATCH(1,(A20='selected-lohe'!$G$1:$G$357)*($B$3='selected-lohe'!$F$1:$F$357)*($C$1='selected-lohe'!$A$1:$A$357),0)),"")</f>
        <v/>
      </c>
      <c r="F20" s="122"/>
      <c r="G20" s="123"/>
      <c r="H20" s="124"/>
      <c r="I20" s="125"/>
      <c r="J20" s="237" t="s">
        <v>82</v>
      </c>
      <c r="K20" s="119" t="str">
        <f t="array" ref="K20">IFERROR(INDEX('selected-lohe'!$D$1:$D$359,MATCH(1,(J20='selected-lohe'!$G$1:$G$357)*($K$3='selected-lohe'!$F$1:$F$357)*($A$1='selected-lohe'!$A$1:$A$357),0))&amp;" "&amp;INDEX('selected-lohe'!$C$1:$C$359,MATCH(1,(J20='selected-lohe'!$G$1:$G$357)*($K$3='selected-lohe'!$F$1:$F$357)*($A$1='selected-lohe'!$A$1:$A$357),0)),"")</f>
        <v/>
      </c>
      <c r="L20" s="120" t="str">
        <f t="array" ref="L20">IFERROR(INDEX('selected-lohe'!$D$1:$D$359,MATCH(1,(J20='selected-lohe'!$G$1:$G$357)*($K$3='selected-lohe'!$F$1:$F$357)*($J$1='selected-lohe'!$A$1:$A$357),0))&amp;" "&amp;INDEX('selected-lohe'!$C$1:$C$359,MATCH(1,(J20='selected-lohe'!$G$1:$G$357)*($K$3='selected-lohe'!$F$1:$F$357)*($J$1='selected-lohe'!$A$1:$A$357),0)),"")</f>
        <v/>
      </c>
      <c r="M20" s="122"/>
      <c r="N20" s="121" t="str">
        <f t="array" ref="N20">IFERROR(INDEX('selected-lohe'!$D$1:$D$359,MATCH(1,(J20='selected-lohe'!$G$1:$G$357)*($K$3='selected-lohe'!$F$1:$F$357)*($C$1='selected-lohe'!$A$1:$A$357),0))&amp;" "&amp;INDEX('selected-lohe'!$C$1:$C$359,MATCH(1,(J20='selected-lohe'!$G$1:$G$357)*($K$3='selected-lohe'!$F$1:$F$357)*($C$1='selected-lohe'!$A$1:$A$357),0)),"")</f>
        <v/>
      </c>
      <c r="O20" s="122"/>
      <c r="P20" s="123"/>
      <c r="Q20" s="124"/>
      <c r="R20" s="94"/>
      <c r="S20" s="94"/>
      <c r="U20" s="228"/>
      <c r="W20" s="225" t="str">
        <f t="array" ref="W20">IFERROR(INDEX('selected-lohe'!$B$1:$B$359,MATCH(1,(A20='selected-lohe'!$G$1:$G$357)*($B$3='selected-lohe'!$F$1:$F$357)*($A$1='selected-lohe'!$A$1:$A$357),0)),"")</f>
        <v/>
      </c>
      <c r="X20" s="225" t="str">
        <f t="array" ref="X20">IFERROR(INDEX('selected-lohe'!$B$1:$B$359,MATCH(1,(A20='selected-lohe'!$G$1:$G$357)*($B$3='selected-lohe'!$F$1:$F$357)*($C$1='selected-lohe'!$A$1:$A$357),0)),"")</f>
        <v/>
      </c>
      <c r="Y20" s="225" t="str">
        <f t="array" ref="Y20">IFERROR(INDEX('selected-lohe'!$B$1:$B$359,MATCH(1,(J20='selected-lohe'!$G$1:$G$357)*($K$3='selected-lohe'!$F$1:$F$357)*($A$1='selected-lohe'!$A$1:$A$357),0)),"")</f>
        <v/>
      </c>
      <c r="Z20" s="225" t="str">
        <f t="array" ref="Z20">IFERROR(INDEX('selected-lohe'!$B$1:$B$359,MATCH(1,(J20='selected-lohe'!$G$1:$G$357)*($K$3='selected-lohe'!$F$1:$F$357)*($C$1='selected-lohe'!$A$1:$A$357),0)),"")</f>
        <v/>
      </c>
      <c r="AA20" s="237" t="s">
        <v>80</v>
      </c>
      <c r="AB20" s="237"/>
      <c r="AC20" s="237" t="s">
        <v>37</v>
      </c>
      <c r="AD20" s="237" t="s">
        <v>82</v>
      </c>
      <c r="AE20" s="237" t="s">
        <v>114</v>
      </c>
      <c r="AF20" s="237" t="s">
        <v>43</v>
      </c>
      <c r="AG20" s="234"/>
      <c r="AH20" s="182"/>
      <c r="AI20" s="182"/>
      <c r="AJ20" s="182"/>
      <c r="AK20" s="182"/>
      <c r="AL20" s="182"/>
      <c r="AM20" s="182"/>
    </row>
    <row r="21" spans="1:39" ht="15.95" customHeight="1" x14ac:dyDescent="0.25">
      <c r="A21" s="237" t="s">
        <v>82</v>
      </c>
      <c r="B21" s="119" t="str">
        <f t="array" ref="B21">IFERROR(INDEX('selected-lohe'!$D$1:$D$359,MATCH(1,(A21='selected-lohe'!$G$1:$G$357)*($B$3='selected-lohe'!$F$1:$F$357)*($A$1='selected-lohe'!$A$1:$A$357),0))&amp;" "&amp;INDEX('selected-lohe'!$C$1:$C$359,MATCH(1,(A21='selected-lohe'!$G$1:$G$357)*($B$3='selected-lohe'!$F$1:$F$357)*($A$1='selected-lohe'!$A$1:$A$357),0)),"")</f>
        <v/>
      </c>
      <c r="C21" s="120" t="str">
        <f t="array" ref="C21">IFERROR(INDEX('selected-lohe'!$D$1:$D$359,MATCH(1,(A21='selected-lohe'!$G$1:$G$357)*($B$3='selected-lohe'!$F$1:$F$357)*($J$1='selected-lohe'!$A$1:$A$357),0))&amp;" "&amp;INDEX('selected-lohe'!$C$1:$C$359,MATCH(1,(A21='selected-lohe'!$G$1:$G$357)*($B$3='selected-lohe'!$F$1:$F$357)*($J$1='selected-lohe'!$A$1:$A$357),0)),"")</f>
        <v/>
      </c>
      <c r="D21" s="121"/>
      <c r="E21" s="121" t="str">
        <f t="array" ref="E21">IFERROR(INDEX('selected-lohe'!$D$1:$D$359,MATCH(1,(A21='selected-lohe'!$G$1:$G$357)*($B$3='selected-lohe'!$F$1:$F$357)*($C$1='selected-lohe'!$A$1:$A$357),0))&amp;" "&amp;INDEX('selected-lohe'!$C$1:$C$359,MATCH(1,(A21='selected-lohe'!$G$1:$G$357)*($B$3='selected-lohe'!$F$1:$F$357)*($C$1='selected-lohe'!$A$1:$A$357),0)),"")</f>
        <v/>
      </c>
      <c r="F21" s="122"/>
      <c r="G21" s="123"/>
      <c r="H21" s="124"/>
      <c r="I21" s="125"/>
      <c r="J21" s="237"/>
      <c r="K21" s="119" t="str">
        <f t="array" ref="K21">IFERROR(INDEX('selected-lohe'!$D$1:$D$359,MATCH(1,(J21='selected-lohe'!$G$1:$G$357)*($K$3='selected-lohe'!$F$1:$F$357)*($A$1='selected-lohe'!$A$1:$A$357),0))&amp;" "&amp;INDEX('selected-lohe'!$C$1:$C$359,MATCH(1,(J21='selected-lohe'!$G$1:$G$357)*($K$3='selected-lohe'!$F$1:$F$357)*($A$1='selected-lohe'!$A$1:$A$357),0)),"")</f>
        <v/>
      </c>
      <c r="L21" s="120" t="str">
        <f t="array" ref="L21">IFERROR(INDEX('selected-lohe'!$D$1:$D$359,MATCH(1,(J21='selected-lohe'!$G$1:$G$357)*($K$3='selected-lohe'!$F$1:$F$357)*($J$1='selected-lohe'!$A$1:$A$357),0))&amp;" "&amp;INDEX('selected-lohe'!$C$1:$C$359,MATCH(1,(J21='selected-lohe'!$G$1:$G$357)*($K$3='selected-lohe'!$F$1:$F$357)*($J$1='selected-lohe'!$A$1:$A$357),0)),"")</f>
        <v/>
      </c>
      <c r="M21" s="122"/>
      <c r="N21" s="121" t="str">
        <f t="array" ref="N21">IFERROR(INDEX('selected-lohe'!$D$1:$D$359,MATCH(1,(J21='selected-lohe'!$G$1:$G$357)*($K$3='selected-lohe'!$F$1:$F$357)*($C$1='selected-lohe'!$A$1:$A$357),0))&amp;" "&amp;INDEX('selected-lohe'!$C$1:$C$359,MATCH(1,(J21='selected-lohe'!$G$1:$G$357)*($K$3='selected-lohe'!$F$1:$F$357)*($C$1='selected-lohe'!$A$1:$A$357),0)),"")</f>
        <v/>
      </c>
      <c r="O21" s="122"/>
      <c r="P21" s="123"/>
      <c r="Q21" s="124"/>
      <c r="R21" s="94"/>
      <c r="S21" s="94"/>
      <c r="U21" s="230"/>
      <c r="W21" s="225" t="str">
        <f t="array" ref="W21">IFERROR(INDEX('selected-lohe'!$B$1:$B$359,MATCH(1,(A21='selected-lohe'!$G$1:$G$357)*($B$3='selected-lohe'!$F$1:$F$357)*($A$1='selected-lohe'!$A$1:$A$357),0)),"")</f>
        <v/>
      </c>
      <c r="X21" s="225" t="str">
        <f t="array" ref="X21">IFERROR(INDEX('selected-lohe'!$B$1:$B$359,MATCH(1,(A21='selected-lohe'!$G$1:$G$357)*($B$3='selected-lohe'!$F$1:$F$357)*($C$1='selected-lohe'!$A$1:$A$357),0)),"")</f>
        <v/>
      </c>
      <c r="Y21" s="225" t="str">
        <f t="array" ref="Y21">IFERROR(INDEX('selected-lohe'!$B$1:$B$359,MATCH(1,(J21='selected-lohe'!$G$1:$G$357)*($K$3='selected-lohe'!$F$1:$F$357)*($A$1='selected-lohe'!$A$1:$A$357),0)),"")</f>
        <v/>
      </c>
      <c r="Z21" s="225" t="str">
        <f t="array" ref="Z21">IFERROR(INDEX('selected-lohe'!$B$1:$B$359,MATCH(1,(J21='selected-lohe'!$G$1:$G$357)*($K$3='selected-lohe'!$F$1:$F$357)*($C$1='selected-lohe'!$A$1:$A$357),0)),"")</f>
        <v/>
      </c>
      <c r="AA21" s="237" t="s">
        <v>82</v>
      </c>
      <c r="AB21" s="237"/>
      <c r="AC21" s="237" t="s">
        <v>82</v>
      </c>
      <c r="AD21" s="237"/>
      <c r="AE21" s="237" t="s">
        <v>45</v>
      </c>
      <c r="AF21" s="237" t="s">
        <v>47</v>
      </c>
      <c r="AG21" s="234"/>
      <c r="AH21" s="182"/>
      <c r="AL21" s="182"/>
      <c r="AM21" s="182"/>
    </row>
    <row r="22" spans="1:39" ht="15.95" customHeight="1" x14ac:dyDescent="0.25">
      <c r="A22" s="237"/>
      <c r="B22" s="119" t="str">
        <f t="array" ref="B22">IFERROR(INDEX('selected-lohe'!$D$1:$D$359,MATCH(1,(A22='selected-lohe'!$G$1:$G$357)*($B$3='selected-lohe'!$F$1:$F$357)*($A$1='selected-lohe'!$A$1:$A$357),0))&amp;" "&amp;INDEX('selected-lohe'!$C$1:$C$359,MATCH(1,(A22='selected-lohe'!$G$1:$G$357)*($B$3='selected-lohe'!$F$1:$F$357)*($A$1='selected-lohe'!$A$1:$A$357),0)),"")</f>
        <v/>
      </c>
      <c r="C22" s="120" t="str">
        <f t="array" ref="C22">IFERROR(INDEX('selected-lohe'!$D$1:$D$359,MATCH(1,(A22='selected-lohe'!$G$1:$G$357)*($B$3='selected-lohe'!$F$1:$F$357)*($J$1='selected-lohe'!$A$1:$A$357),0))&amp;" "&amp;INDEX('selected-lohe'!$C$1:$C$359,MATCH(1,(A22='selected-lohe'!$G$1:$G$357)*($B$3='selected-lohe'!$F$1:$F$357)*($J$1='selected-lohe'!$A$1:$A$357),0)),"")</f>
        <v/>
      </c>
      <c r="D22" s="121"/>
      <c r="E22" s="121" t="str">
        <f t="array" ref="E22">IFERROR(INDEX('selected-lohe'!$D$1:$D$359,MATCH(1,(A22='selected-lohe'!$G$1:$G$357)*($B$3='selected-lohe'!$F$1:$F$357)*($C$1='selected-lohe'!$A$1:$A$357),0))&amp;" "&amp;INDEX('selected-lohe'!$C$1:$C$359,MATCH(1,(A22='selected-lohe'!$G$1:$G$357)*($B$3='selected-lohe'!$F$1:$F$357)*($C$1='selected-lohe'!$A$1:$A$357),0)),"")</f>
        <v/>
      </c>
      <c r="F22" s="122"/>
      <c r="G22" s="123"/>
      <c r="H22" s="124"/>
      <c r="I22" s="125"/>
      <c r="J22" s="237"/>
      <c r="K22" s="119" t="str">
        <f t="array" ref="K22">IFERROR(INDEX('selected-lohe'!$D$1:$D$359,MATCH(1,(J22='selected-lohe'!$G$1:$G$357)*($K$3='selected-lohe'!$F$1:$F$357)*($A$1='selected-lohe'!$A$1:$A$357),0))&amp;" "&amp;INDEX('selected-lohe'!$C$1:$C$359,MATCH(1,(J22='selected-lohe'!$G$1:$G$357)*($K$3='selected-lohe'!$F$1:$F$357)*($A$1='selected-lohe'!$A$1:$A$357),0)),"")</f>
        <v/>
      </c>
      <c r="L22" s="120" t="str">
        <f t="array" ref="L22">IFERROR(INDEX('selected-lohe'!$D$1:$D$359,MATCH(1,(J22='selected-lohe'!$G$1:$G$357)*($K$3='selected-lohe'!$F$1:$F$357)*($J$1='selected-lohe'!$A$1:$A$357),0))&amp;" "&amp;INDEX('selected-lohe'!$C$1:$C$359,MATCH(1,(J22='selected-lohe'!$G$1:$G$357)*($K$3='selected-lohe'!$F$1:$F$357)*($J$1='selected-lohe'!$A$1:$A$357),0)),"")</f>
        <v/>
      </c>
      <c r="M22" s="122"/>
      <c r="N22" s="121" t="str">
        <f t="array" ref="N22">IFERROR(INDEX('selected-lohe'!$D$1:$D$359,MATCH(1,(J22='selected-lohe'!$G$1:$G$357)*($K$3='selected-lohe'!$F$1:$F$357)*($C$1='selected-lohe'!$A$1:$A$357),0))&amp;" "&amp;INDEX('selected-lohe'!$C$1:$C$359,MATCH(1,(J22='selected-lohe'!$G$1:$G$357)*($K$3='selected-lohe'!$F$1:$F$357)*($C$1='selected-lohe'!$A$1:$A$357),0)),"")</f>
        <v/>
      </c>
      <c r="O22" s="122"/>
      <c r="P22" s="123"/>
      <c r="Q22" s="124"/>
      <c r="R22" s="94"/>
      <c r="S22" s="94"/>
      <c r="U22" s="230"/>
      <c r="W22" s="225" t="str">
        <f t="array" ref="W22">IFERROR(INDEX('selected-lohe'!$B$1:$B$359,MATCH(1,(A22='selected-lohe'!$G$1:$G$357)*($B$3='selected-lohe'!$F$1:$F$357)*($A$1='selected-lohe'!$A$1:$A$357),0)),"")</f>
        <v/>
      </c>
      <c r="X22" s="225" t="str">
        <f t="array" ref="X22">IFERROR(INDEX('selected-lohe'!$B$1:$B$359,MATCH(1,(A22='selected-lohe'!$G$1:$G$357)*($B$3='selected-lohe'!$F$1:$F$357)*($C$1='selected-lohe'!$A$1:$A$357),0)),"")</f>
        <v/>
      </c>
      <c r="Y22" s="225" t="str">
        <f t="array" ref="Y22">IFERROR(INDEX('selected-lohe'!$B$1:$B$359,MATCH(1,(J22='selected-lohe'!$G$1:$G$357)*($K$3='selected-lohe'!$F$1:$F$357)*($A$1='selected-lohe'!$A$1:$A$357),0)),"")</f>
        <v/>
      </c>
      <c r="Z22" s="225" t="str">
        <f t="array" ref="Z22">IFERROR(INDEX('selected-lohe'!$B$1:$B$359,MATCH(1,(J22='selected-lohe'!$G$1:$G$357)*($K$3='selected-lohe'!$F$1:$F$357)*($C$1='selected-lohe'!$A$1:$A$357),0)),"")</f>
        <v/>
      </c>
      <c r="AA22" s="237"/>
      <c r="AB22" s="237"/>
      <c r="AC22" s="237"/>
      <c r="AD22" s="237"/>
      <c r="AE22" s="237" t="s">
        <v>118</v>
      </c>
      <c r="AF22" s="237" t="s">
        <v>49</v>
      </c>
      <c r="AG22" s="234"/>
      <c r="AL22" s="182"/>
      <c r="AM22" s="182"/>
    </row>
    <row r="23" spans="1:39" ht="15.95" customHeight="1" x14ac:dyDescent="0.25">
      <c r="A23" s="237" t="s">
        <v>39</v>
      </c>
      <c r="B23" s="167" t="str">
        <f t="array" ref="B23">IFERROR(INDEX('selected-lohe'!$D$1:$D$359,MATCH(1,(A23='selected-lohe'!$G$1:$G$357)*($B$3='selected-lohe'!$F$1:$F$357)*($A$1='selected-lohe'!$A$1:$A$357),0))&amp;" "&amp;INDEX('selected-lohe'!$C$1:$C$359,MATCH(1,(A23='selected-lohe'!$G$1:$G$357)*($B$3='selected-lohe'!$F$1:$F$357)*($A$1='selected-lohe'!$A$1:$A$357),0)),"")</f>
        <v/>
      </c>
      <c r="C23" s="120" t="str">
        <f t="array" ref="C23">IFERROR(INDEX('selected-lohe'!$D$1:$D$359,MATCH(1,(A23='selected-lohe'!$G$1:$G$357)*($B$3='selected-lohe'!$F$1:$F$357)*($J$1='selected-lohe'!$A$1:$A$357),0))&amp;" "&amp;INDEX('selected-lohe'!$C$1:$C$359,MATCH(1,(A23='selected-lohe'!$G$1:$G$357)*($B$3='selected-lohe'!$F$1:$F$357)*($J$1='selected-lohe'!$A$1:$A$357),0)),"")</f>
        <v/>
      </c>
      <c r="D23" s="121"/>
      <c r="E23" s="166" t="str">
        <f t="array" ref="E23">IFERROR(INDEX('selected-lohe'!$D$1:$D$359,MATCH(1,(A23='selected-lohe'!$G$1:$G$357)*($B$3='selected-lohe'!$F$1:$F$357)*($C$1='selected-lohe'!$A$1:$A$357),0))&amp;" "&amp;INDEX('selected-lohe'!$C$1:$C$359,MATCH(1,(A23='selected-lohe'!$G$1:$G$357)*($B$3='selected-lohe'!$F$1:$F$357)*($C$1='selected-lohe'!$A$1:$A$357),0)),"")</f>
        <v/>
      </c>
      <c r="F23" s="122"/>
      <c r="G23" s="123"/>
      <c r="H23" s="124"/>
      <c r="I23" s="125"/>
      <c r="J23" s="237"/>
      <c r="K23" s="119" t="str">
        <f t="array" ref="K23">IFERROR(INDEX('selected-lohe'!$D$1:$D$359,MATCH(1,(J23='selected-lohe'!$G$1:$G$357)*($K$3='selected-lohe'!$F$1:$F$357)*($A$1='selected-lohe'!$A$1:$A$357),0))&amp;" "&amp;INDEX('selected-lohe'!$C$1:$C$359,MATCH(1,(J23='selected-lohe'!$G$1:$G$357)*($K$3='selected-lohe'!$F$1:$F$357)*($A$1='selected-lohe'!$A$1:$A$357),0)),"")</f>
        <v/>
      </c>
      <c r="L23" s="120" t="str">
        <f t="array" ref="L23">IFERROR(INDEX('selected-lohe'!$D$1:$D$359,MATCH(1,(J23='selected-lohe'!$G$1:$G$357)*($K$3='selected-lohe'!$F$1:$F$357)*($J$1='selected-lohe'!$A$1:$A$357),0))&amp;" "&amp;INDEX('selected-lohe'!$C$1:$C$359,MATCH(1,(J23='selected-lohe'!$G$1:$G$357)*($K$3='selected-lohe'!$F$1:$F$357)*($J$1='selected-lohe'!$A$1:$A$357),0)),"")</f>
        <v/>
      </c>
      <c r="M23" s="122"/>
      <c r="N23" s="121" t="str">
        <f t="array" ref="N23">IFERROR(INDEX('selected-lohe'!$D$1:$D$359,MATCH(1,(J23='selected-lohe'!$G$1:$G$357)*($K$3='selected-lohe'!$F$1:$F$357)*($C$1='selected-lohe'!$A$1:$A$357),0))&amp;" "&amp;INDEX('selected-lohe'!$C$1:$C$359,MATCH(1,(J23='selected-lohe'!$G$1:$G$357)*($K$3='selected-lohe'!$F$1:$F$357)*($C$1='selected-lohe'!$A$1:$A$357),0)),"")</f>
        <v/>
      </c>
      <c r="O23" s="122"/>
      <c r="P23" s="123"/>
      <c r="Q23" s="124"/>
      <c r="R23" s="94"/>
      <c r="S23" s="95" t="s">
        <v>501</v>
      </c>
      <c r="T23" s="231" t="s">
        <v>501</v>
      </c>
      <c r="U23" s="230"/>
      <c r="W23" s="225" t="str">
        <f t="array" ref="W23">IFERROR(INDEX('selected-lohe'!$B$1:$B$359,MATCH(1,(A23='selected-lohe'!$G$1:$G$357)*($B$3='selected-lohe'!$F$1:$F$357)*($A$1='selected-lohe'!$A$1:$A$357),0)),"")</f>
        <v/>
      </c>
      <c r="X23" s="225" t="str">
        <f t="array" ref="X23">IFERROR(INDEX('selected-lohe'!$B$1:$B$359,MATCH(1,(A23='selected-lohe'!$G$1:$G$357)*($B$3='selected-lohe'!$F$1:$F$357)*($C$1='selected-lohe'!$A$1:$A$357),0)),"")</f>
        <v/>
      </c>
      <c r="Y23" s="225" t="str">
        <f t="array" ref="Y23">IFERROR(INDEX('selected-lohe'!$B$1:$B$359,MATCH(1,(J23='selected-lohe'!$G$1:$G$357)*($K$3='selected-lohe'!$F$1:$F$357)*($A$1='selected-lohe'!$A$1:$A$357),0)),"")</f>
        <v/>
      </c>
      <c r="Z23" s="225" t="str">
        <f t="array" ref="Z23">IFERROR(INDEX('selected-lohe'!$B$1:$B$359,MATCH(1,(J23='selected-lohe'!$G$1:$G$357)*($K$3='selected-lohe'!$F$1:$F$357)*($C$1='selected-lohe'!$A$1:$A$357),0)),"")</f>
        <v/>
      </c>
      <c r="AA23" s="237"/>
      <c r="AB23" s="237"/>
      <c r="AC23" s="237" t="s">
        <v>39</v>
      </c>
      <c r="AD23" s="237"/>
      <c r="AE23" s="237" t="s">
        <v>125</v>
      </c>
      <c r="AF23" s="237" t="s">
        <v>126</v>
      </c>
      <c r="AG23" s="234"/>
      <c r="AJ23" s="182"/>
      <c r="AL23" s="182"/>
      <c r="AM23" s="182"/>
    </row>
    <row r="24" spans="1:39" ht="15.95" customHeight="1" x14ac:dyDescent="0.25">
      <c r="A24" s="237" t="s">
        <v>40</v>
      </c>
      <c r="B24" s="119" t="str">
        <f t="array" ref="B24">IFERROR(INDEX('selected-lohe'!$D$1:$D$359,MATCH(1,(A24='selected-lohe'!$G$1:$G$357)*($B$3='selected-lohe'!$F$1:$F$357)*($A$1='selected-lohe'!$A$1:$A$357),0))&amp;" "&amp;INDEX('selected-lohe'!$C$1:$C$359,MATCH(1,(A24='selected-lohe'!$G$1:$G$357)*($B$3='selected-lohe'!$F$1:$F$357)*($A$1='selected-lohe'!$A$1:$A$357),0)),"")</f>
        <v/>
      </c>
      <c r="C24" s="120" t="str">
        <f t="array" ref="C24">IFERROR(INDEX('selected-lohe'!$D$1:$D$359,MATCH(1,(A24='selected-lohe'!$G$1:$G$357)*($B$3='selected-lohe'!$F$1:$F$357)*($J$1='selected-lohe'!$A$1:$A$357),0))&amp;" "&amp;INDEX('selected-lohe'!$C$1:$C$359,MATCH(1,(A24='selected-lohe'!$G$1:$G$357)*($B$3='selected-lohe'!$F$1:$F$357)*($J$1='selected-lohe'!$A$1:$A$357),0)),"")</f>
        <v/>
      </c>
      <c r="D24" s="121"/>
      <c r="E24" s="166" t="str">
        <f t="array" ref="E24">IFERROR(INDEX('selected-lohe'!$D$1:$D$359,MATCH(1,(A24='selected-lohe'!$G$1:$G$357)*($B$3='selected-lohe'!$F$1:$F$357)*($C$1='selected-lohe'!$A$1:$A$357),0))&amp;" "&amp;INDEX('selected-lohe'!$C$1:$C$359,MATCH(1,(A24='selected-lohe'!$G$1:$G$357)*($B$3='selected-lohe'!$F$1:$F$357)*($C$1='selected-lohe'!$A$1:$A$357),0)),"")</f>
        <v/>
      </c>
      <c r="F24" s="122"/>
      <c r="G24" s="123"/>
      <c r="H24" s="124"/>
      <c r="I24" s="125"/>
      <c r="J24" s="237"/>
      <c r="K24" s="119" t="str">
        <f t="array" ref="K24">IFERROR(INDEX('selected-lohe'!$D$1:$D$359,MATCH(1,(J24='selected-lohe'!$G$1:$G$357)*($K$3='selected-lohe'!$F$1:$F$357)*($A$1='selected-lohe'!$A$1:$A$357),0))&amp;" "&amp;INDEX('selected-lohe'!$C$1:$C$359,MATCH(1,(J24='selected-lohe'!$G$1:$G$357)*($K$3='selected-lohe'!$F$1:$F$357)*($A$1='selected-lohe'!$A$1:$A$357),0)),"")</f>
        <v/>
      </c>
      <c r="L24" s="120" t="str">
        <f t="array" ref="L24">IFERROR(INDEX('selected-lohe'!$D$1:$D$359,MATCH(1,(J24='selected-lohe'!$G$1:$G$357)*($K$3='selected-lohe'!$F$1:$F$357)*($J$1='selected-lohe'!$A$1:$A$357),0))&amp;" "&amp;INDEX('selected-lohe'!$C$1:$C$359,MATCH(1,(J24='selected-lohe'!$G$1:$G$357)*($K$3='selected-lohe'!$F$1:$F$357)*($J$1='selected-lohe'!$A$1:$A$357),0)),"")</f>
        <v/>
      </c>
      <c r="M24" s="122"/>
      <c r="N24" s="121" t="str">
        <f t="array" ref="N24">IFERROR(INDEX('selected-lohe'!$D$1:$D$359,MATCH(1,(J24='selected-lohe'!$G$1:$G$357)*($K$3='selected-lohe'!$F$1:$F$357)*($C$1='selected-lohe'!$A$1:$A$357),0))&amp;" "&amp;INDEX('selected-lohe'!$C$1:$C$359,MATCH(1,(J24='selected-lohe'!$G$1:$G$357)*($K$3='selected-lohe'!$F$1:$F$357)*($C$1='selected-lohe'!$A$1:$A$357),0)),"")</f>
        <v/>
      </c>
      <c r="O24" s="122"/>
      <c r="P24" s="123"/>
      <c r="Q24" s="124"/>
      <c r="R24" s="94"/>
      <c r="S24" s="94" t="str">
        <f>B2</f>
        <v/>
      </c>
      <c r="T24" s="223" t="str">
        <f>E2</f>
        <v/>
      </c>
      <c r="W24" s="225" t="str">
        <f t="array" ref="W24">IFERROR(INDEX('selected-lohe'!$B$1:$B$359,MATCH(1,(A24='selected-lohe'!$G$1:$G$357)*($B$3='selected-lohe'!$F$1:$F$357)*($A$1='selected-lohe'!$A$1:$A$357),0)),"")</f>
        <v/>
      </c>
      <c r="X24" s="225" t="str">
        <f t="array" ref="X24">IFERROR(INDEX('selected-lohe'!$B$1:$B$359,MATCH(1,(A24='selected-lohe'!$G$1:$G$357)*($B$3='selected-lohe'!$F$1:$F$357)*($C$1='selected-lohe'!$A$1:$A$357),0)),"")</f>
        <v/>
      </c>
      <c r="Y24" s="225" t="str">
        <f t="array" ref="Y24">IFERROR(INDEX('selected-lohe'!$B$1:$B$359,MATCH(1,(J24='selected-lohe'!$G$1:$G$357)*($K$3='selected-lohe'!$F$1:$F$357)*($A$1='selected-lohe'!$A$1:$A$357),0)),"")</f>
        <v/>
      </c>
      <c r="Z24" s="225" t="str">
        <f t="array" ref="Z24">IFERROR(INDEX('selected-lohe'!$B$1:$B$359,MATCH(1,(J24='selected-lohe'!$G$1:$G$357)*($K$3='selected-lohe'!$F$1:$F$357)*($C$1='selected-lohe'!$A$1:$A$357),0)),"")</f>
        <v/>
      </c>
      <c r="AA24" s="237" t="s">
        <v>41</v>
      </c>
      <c r="AB24" s="237"/>
      <c r="AC24" s="237" t="s">
        <v>40</v>
      </c>
      <c r="AD24" s="237"/>
      <c r="AE24" s="237" t="s">
        <v>127</v>
      </c>
      <c r="AF24" s="237" t="s">
        <v>130</v>
      </c>
      <c r="AG24" s="233"/>
      <c r="AH24" s="182"/>
      <c r="AJ24" s="182"/>
      <c r="AL24" s="182"/>
      <c r="AM24" s="182"/>
    </row>
    <row r="25" spans="1:39" ht="15.95" customHeight="1" x14ac:dyDescent="0.25">
      <c r="A25" s="237" t="s">
        <v>114</v>
      </c>
      <c r="B25" s="119" t="str">
        <f t="array" ref="B25">IFERROR(INDEX('selected-lohe'!$D$1:$D$359,MATCH(1,(A25='selected-lohe'!$G$1:$G$357)*($B$3='selected-lohe'!$F$1:$F$357)*($A$1='selected-lohe'!$A$1:$A$357),0))&amp;" "&amp;INDEX('selected-lohe'!$C$1:$C$359,MATCH(1,(A25='selected-lohe'!$G$1:$G$357)*($B$3='selected-lohe'!$F$1:$F$357)*($A$1='selected-lohe'!$A$1:$A$357),0)),"")</f>
        <v/>
      </c>
      <c r="C25" s="120" t="str">
        <f t="array" ref="C25">IFERROR(INDEX('selected-lohe'!$D$1:$D$359,MATCH(1,(A25='selected-lohe'!$G$1:$G$357)*($B$3='selected-lohe'!$F$1:$F$357)*($J$1='selected-lohe'!$A$1:$A$357),0))&amp;" "&amp;INDEX('selected-lohe'!$C$1:$C$359,MATCH(1,(A25='selected-lohe'!$G$1:$G$357)*($B$3='selected-lohe'!$F$1:$F$357)*($J$1='selected-lohe'!$A$1:$A$357),0)),"")</f>
        <v/>
      </c>
      <c r="D25" s="121"/>
      <c r="E25" s="121" t="str">
        <f t="array" ref="E25">IFERROR(INDEX('selected-lohe'!$D$1:$D$359,MATCH(1,(A25='selected-lohe'!$G$1:$G$357)*($B$3='selected-lohe'!$F$1:$F$357)*($C$1='selected-lohe'!$A$1:$A$357),0))&amp;" "&amp;INDEX('selected-lohe'!$C$1:$C$359,MATCH(1,(A25='selected-lohe'!$G$1:$G$357)*($B$3='selected-lohe'!$F$1:$F$357)*($C$1='selected-lohe'!$A$1:$A$357),0)),"")</f>
        <v/>
      </c>
      <c r="F25" s="122"/>
      <c r="G25" s="123"/>
      <c r="H25" s="124"/>
      <c r="I25" s="125"/>
      <c r="J25" s="237" t="s">
        <v>114</v>
      </c>
      <c r="K25" s="167" t="str">
        <f t="array" ref="K25">IFERROR(INDEX('selected-lohe'!$D$1:$D$359,MATCH(1,(J25='selected-lohe'!$G$1:$G$357)*($K$3='selected-lohe'!$F$1:$F$357)*($A$1='selected-lohe'!$A$1:$A$357),0))&amp;" "&amp;INDEX('selected-lohe'!$C$1:$C$359,MATCH(1,(J25='selected-lohe'!$G$1:$G$357)*($K$3='selected-lohe'!$F$1:$F$357)*($A$1='selected-lohe'!$A$1:$A$357),0)),"")</f>
        <v/>
      </c>
      <c r="L25" s="120" t="str">
        <f t="array" ref="L25">IFERROR(INDEX('selected-lohe'!$D$1:$D$359,MATCH(1,(J25='selected-lohe'!$G$1:$G$357)*($K$3='selected-lohe'!$F$1:$F$357)*($J$1='selected-lohe'!$A$1:$A$357),0))&amp;" "&amp;INDEX('selected-lohe'!$C$1:$C$359,MATCH(1,(J25='selected-lohe'!$G$1:$G$357)*($K$3='selected-lohe'!$F$1:$F$357)*($J$1='selected-lohe'!$A$1:$A$357),0)),"")</f>
        <v/>
      </c>
      <c r="M25" s="122"/>
      <c r="N25" s="166" t="str">
        <f t="array" ref="N25">IFERROR(INDEX('selected-lohe'!$D$1:$D$359,MATCH(1,(J25='selected-lohe'!$G$1:$G$357)*($K$3='selected-lohe'!$F$1:$F$357)*($C$1='selected-lohe'!$A$1:$A$357),0))&amp;" "&amp;INDEX('selected-lohe'!$C$1:$C$359,MATCH(1,(J25='selected-lohe'!$G$1:$G$357)*($K$3='selected-lohe'!$F$1:$F$357)*($C$1='selected-lohe'!$A$1:$A$357),0)),"")</f>
        <v/>
      </c>
      <c r="O25" s="122"/>
      <c r="P25" s="123"/>
      <c r="Q25" s="124"/>
      <c r="R25" s="94"/>
      <c r="S25" s="96"/>
      <c r="T25" s="232"/>
      <c r="W25" s="225" t="str">
        <f t="array" ref="W25">IFERROR(INDEX('selected-lohe'!$B$1:$B$359,MATCH(1,(A25='selected-lohe'!$G$1:$G$357)*($B$3='selected-lohe'!$F$1:$F$357)*($A$1='selected-lohe'!$A$1:$A$357),0)),"")</f>
        <v/>
      </c>
      <c r="X25" s="225" t="str">
        <f t="array" ref="X25">IFERROR(INDEX('selected-lohe'!$B$1:$B$359,MATCH(1,(A25='selected-lohe'!$G$1:$G$357)*($B$3='selected-lohe'!$F$1:$F$357)*($C$1='selected-lohe'!$A$1:$A$357),0)),"")</f>
        <v/>
      </c>
      <c r="Y25" s="225" t="str">
        <f t="array" ref="Y25">IFERROR(INDEX('selected-lohe'!$B$1:$B$359,MATCH(1,(J25='selected-lohe'!$G$1:$G$357)*($K$3='selected-lohe'!$F$1:$F$357)*($A$1='selected-lohe'!$A$1:$A$357),0)),"")</f>
        <v/>
      </c>
      <c r="Z25" s="225" t="str">
        <f t="array" ref="Z25">IFERROR(INDEX('selected-lohe'!$B$1:$B$359,MATCH(1,(J25='selected-lohe'!$G$1:$G$357)*($K$3='selected-lohe'!$F$1:$F$357)*($C$1='selected-lohe'!$A$1:$A$357),0)),"")</f>
        <v/>
      </c>
      <c r="AA25" s="237" t="s">
        <v>42</v>
      </c>
      <c r="AB25" s="237" t="s">
        <v>40</v>
      </c>
      <c r="AC25" s="237" t="s">
        <v>114</v>
      </c>
      <c r="AD25" s="237" t="s">
        <v>114</v>
      </c>
      <c r="AE25" s="237" t="s">
        <v>52</v>
      </c>
      <c r="AF25" s="237" t="s">
        <v>132</v>
      </c>
      <c r="AG25" s="233"/>
      <c r="AH25" s="182"/>
      <c r="AI25" s="182"/>
      <c r="AJ25" s="182"/>
      <c r="AK25" s="182"/>
      <c r="AL25" s="182"/>
      <c r="AM25" s="182"/>
    </row>
    <row r="26" spans="1:39" ht="15.95" customHeight="1" x14ac:dyDescent="0.25">
      <c r="A26" s="237" t="s">
        <v>43</v>
      </c>
      <c r="B26" s="119" t="str">
        <f t="array" ref="B26">IFERROR(INDEX('selected-lohe'!$D$1:$D$359,MATCH(1,(A26='selected-lohe'!$G$1:$G$357)*($B$3='selected-lohe'!$F$1:$F$357)*($A$1='selected-lohe'!$A$1:$A$357),0))&amp;" "&amp;INDEX('selected-lohe'!$C$1:$C$359,MATCH(1,(A26='selected-lohe'!$G$1:$G$357)*($B$3='selected-lohe'!$F$1:$F$357)*($A$1='selected-lohe'!$A$1:$A$357),0)),"")</f>
        <v/>
      </c>
      <c r="C26" s="120" t="str">
        <f t="array" ref="C26">IFERROR(INDEX('selected-lohe'!$D$1:$D$359,MATCH(1,(A26='selected-lohe'!$G$1:$G$357)*($B$3='selected-lohe'!$F$1:$F$357)*($J$1='selected-lohe'!$A$1:$A$357),0))&amp;" "&amp;INDEX('selected-lohe'!$C$1:$C$359,MATCH(1,(A26='selected-lohe'!$G$1:$G$357)*($B$3='selected-lohe'!$F$1:$F$357)*($J$1='selected-lohe'!$A$1:$A$357),0)),"")</f>
        <v/>
      </c>
      <c r="D26" s="121"/>
      <c r="E26" s="121" t="str">
        <f t="array" ref="E26">IFERROR(INDEX('selected-lohe'!$D$1:$D$359,MATCH(1,(A26='selected-lohe'!$G$1:$G$357)*($B$3='selected-lohe'!$F$1:$F$357)*($C$1='selected-lohe'!$A$1:$A$357),0))&amp;" "&amp;INDEX('selected-lohe'!$C$1:$C$359,MATCH(1,(A26='selected-lohe'!$G$1:$G$357)*($B$3='selected-lohe'!$F$1:$F$357)*($C$1='selected-lohe'!$A$1:$A$357),0)),"")</f>
        <v/>
      </c>
      <c r="F26" s="122"/>
      <c r="G26" s="123"/>
      <c r="H26" s="124"/>
      <c r="I26" s="125"/>
      <c r="J26" s="237"/>
      <c r="K26" s="119" t="str">
        <f t="array" ref="K26">IFERROR(INDEX('selected-lohe'!$D$1:$D$359,MATCH(1,(J26='selected-lohe'!$G$1:$G$357)*($K$3='selected-lohe'!$F$1:$F$357)*($A$1='selected-lohe'!$A$1:$A$357),0))&amp;" "&amp;INDEX('selected-lohe'!$C$1:$C$359,MATCH(1,(J26='selected-lohe'!$G$1:$G$357)*($K$3='selected-lohe'!$F$1:$F$357)*($A$1='selected-lohe'!$A$1:$A$357),0)),"")</f>
        <v/>
      </c>
      <c r="L26" s="120" t="str">
        <f t="array" ref="L26">IFERROR(INDEX('selected-lohe'!$D$1:$D$359,MATCH(1,(J26='selected-lohe'!$G$1:$G$357)*($K$3='selected-lohe'!$F$1:$F$357)*($J$1='selected-lohe'!$A$1:$A$357),0))&amp;" "&amp;INDEX('selected-lohe'!$C$1:$C$359,MATCH(1,(J26='selected-lohe'!$G$1:$G$357)*($K$3='selected-lohe'!$F$1:$F$357)*($J$1='selected-lohe'!$A$1:$A$357),0)),"")</f>
        <v/>
      </c>
      <c r="M26" s="122"/>
      <c r="N26" s="121" t="str">
        <f t="array" ref="N26">IFERROR(INDEX('selected-lohe'!$D$1:$D$359,MATCH(1,(J26='selected-lohe'!$G$1:$G$357)*($K$3='selected-lohe'!$F$1:$F$357)*($C$1='selected-lohe'!$A$1:$A$357),0))&amp;" "&amp;INDEX('selected-lohe'!$C$1:$C$359,MATCH(1,(J26='selected-lohe'!$G$1:$G$357)*($K$3='selected-lohe'!$F$1:$F$357)*($C$1='selected-lohe'!$A$1:$A$357),0)),"")</f>
        <v/>
      </c>
      <c r="O26" s="122"/>
      <c r="P26" s="123"/>
      <c r="Q26" s="124"/>
      <c r="R26" s="94"/>
      <c r="S26" s="96"/>
      <c r="T26" s="232"/>
      <c r="W26" s="225" t="str">
        <f t="array" ref="W26">IFERROR(INDEX('selected-lohe'!$B$1:$B$359,MATCH(1,(A26='selected-lohe'!$G$1:$G$357)*($B$3='selected-lohe'!$F$1:$F$357)*($A$1='selected-lohe'!$A$1:$A$357),0)),"")</f>
        <v/>
      </c>
      <c r="X26" s="225" t="str">
        <f t="array" ref="X26">IFERROR(INDEX('selected-lohe'!$B$1:$B$359,MATCH(1,(A26='selected-lohe'!$G$1:$G$357)*($B$3='selected-lohe'!$F$1:$F$357)*($C$1='selected-lohe'!$A$1:$A$357),0)),"")</f>
        <v/>
      </c>
      <c r="Y26" s="225" t="str">
        <f t="array" ref="Y26">IFERROR(INDEX('selected-lohe'!$B$1:$B$359,MATCH(1,(J26='selected-lohe'!$G$1:$G$357)*($K$3='selected-lohe'!$F$1:$F$357)*($A$1='selected-lohe'!$A$1:$A$357),0)),"")</f>
        <v/>
      </c>
      <c r="Z26" s="225" t="str">
        <f t="array" ref="Z26">IFERROR(INDEX('selected-lohe'!$B$1:$B$359,MATCH(1,(J26='selected-lohe'!$G$1:$G$357)*($K$3='selected-lohe'!$F$1:$F$357)*($C$1='selected-lohe'!$A$1:$A$357),0)),"")</f>
        <v/>
      </c>
      <c r="AA26" s="237" t="s">
        <v>43</v>
      </c>
      <c r="AB26" s="237"/>
      <c r="AC26" s="237" t="s">
        <v>43</v>
      </c>
      <c r="AD26" s="237"/>
      <c r="AE26" s="237" t="s">
        <v>133</v>
      </c>
      <c r="AF26" s="237" t="s">
        <v>135</v>
      </c>
      <c r="AG26" s="233"/>
      <c r="AH26" s="182"/>
      <c r="AJ26" s="182"/>
      <c r="AL26" s="182"/>
      <c r="AM26" s="182"/>
    </row>
    <row r="27" spans="1:39" ht="15.95" customHeight="1" x14ac:dyDescent="0.25">
      <c r="A27" s="237" t="s">
        <v>44</v>
      </c>
      <c r="B27" s="119" t="str">
        <f t="array" ref="B27">IFERROR(INDEX('selected-lohe'!$D$1:$D$359,MATCH(1,(A27='selected-lohe'!$G$1:$G$357)*($B$3='selected-lohe'!$F$1:$F$357)*($A$1='selected-lohe'!$A$1:$A$357),0))&amp;" "&amp;INDEX('selected-lohe'!$C$1:$C$359,MATCH(1,(A27='selected-lohe'!$G$1:$G$357)*($B$3='selected-lohe'!$F$1:$F$357)*($A$1='selected-lohe'!$A$1:$A$357),0)),"")</f>
        <v/>
      </c>
      <c r="C27" s="120" t="str">
        <f t="array" ref="C27">IFERROR(INDEX('selected-lohe'!$D$1:$D$359,MATCH(1,(A27='selected-lohe'!$G$1:$G$357)*($B$3='selected-lohe'!$F$1:$F$357)*($J$1='selected-lohe'!$A$1:$A$357),0))&amp;" "&amp;INDEX('selected-lohe'!$C$1:$C$359,MATCH(1,(A27='selected-lohe'!$G$1:$G$357)*($B$3='selected-lohe'!$F$1:$F$357)*($J$1='selected-lohe'!$A$1:$A$357),0)),"")</f>
        <v/>
      </c>
      <c r="D27" s="121"/>
      <c r="E27" s="121" t="str">
        <f t="array" ref="E27">IFERROR(INDEX('selected-lohe'!$D$1:$D$359,MATCH(1,(A27='selected-lohe'!$G$1:$G$357)*($B$3='selected-lohe'!$F$1:$F$357)*($C$1='selected-lohe'!$A$1:$A$357),0))&amp;" "&amp;INDEX('selected-lohe'!$C$1:$C$359,MATCH(1,(A27='selected-lohe'!$G$1:$G$357)*($B$3='selected-lohe'!$F$1:$F$357)*($C$1='selected-lohe'!$A$1:$A$357),0)),"")</f>
        <v/>
      </c>
      <c r="F27" s="122"/>
      <c r="G27" s="123"/>
      <c r="H27" s="124"/>
      <c r="I27" s="125"/>
      <c r="J27" s="237"/>
      <c r="K27" s="119" t="str">
        <f t="array" ref="K27">IFERROR(INDEX('selected-lohe'!$D$1:$D$359,MATCH(1,(J27='selected-lohe'!$G$1:$G$357)*($K$3='selected-lohe'!$F$1:$F$357)*($A$1='selected-lohe'!$A$1:$A$357),0))&amp;" "&amp;INDEX('selected-lohe'!$C$1:$C$359,MATCH(1,(J27='selected-lohe'!$G$1:$G$357)*($K$3='selected-lohe'!$F$1:$F$357)*($A$1='selected-lohe'!$A$1:$A$357),0)),"")</f>
        <v/>
      </c>
      <c r="L27" s="120" t="str">
        <f t="array" ref="L27">IFERROR(INDEX('selected-lohe'!$D$1:$D$359,MATCH(1,(J27='selected-lohe'!$G$1:$G$357)*($K$3='selected-lohe'!$F$1:$F$357)*($J$1='selected-lohe'!$A$1:$A$357),0))&amp;" "&amp;INDEX('selected-lohe'!$C$1:$C$359,MATCH(1,(J27='selected-lohe'!$G$1:$G$357)*($K$3='selected-lohe'!$F$1:$F$357)*($J$1='selected-lohe'!$A$1:$A$357),0)),"")</f>
        <v/>
      </c>
      <c r="M27" s="122"/>
      <c r="N27" s="121" t="str">
        <f t="array" ref="N27">IFERROR(INDEX('selected-lohe'!$D$1:$D$359,MATCH(1,(J27='selected-lohe'!$G$1:$G$357)*($K$3='selected-lohe'!$F$1:$F$357)*($C$1='selected-lohe'!$A$1:$A$357),0))&amp;" "&amp;INDEX('selected-lohe'!$C$1:$C$359,MATCH(1,(J27='selected-lohe'!$G$1:$G$357)*($K$3='selected-lohe'!$F$1:$F$357)*($C$1='selected-lohe'!$A$1:$A$357),0)),"")</f>
        <v/>
      </c>
      <c r="O27" s="122"/>
      <c r="P27" s="123"/>
      <c r="Q27" s="124"/>
      <c r="R27" s="94"/>
      <c r="S27" s="96"/>
      <c r="T27" s="232"/>
      <c r="W27" s="225" t="str">
        <f t="array" ref="W27">IFERROR(INDEX('selected-lohe'!$B$1:$B$359,MATCH(1,(A27='selected-lohe'!$G$1:$G$357)*($B$3='selected-lohe'!$F$1:$F$357)*($A$1='selected-lohe'!$A$1:$A$357),0)),"")</f>
        <v/>
      </c>
      <c r="X27" s="225" t="str">
        <f t="array" ref="X27">IFERROR(INDEX('selected-lohe'!$B$1:$B$359,MATCH(1,(A27='selected-lohe'!$G$1:$G$357)*($B$3='selected-lohe'!$F$1:$F$357)*($C$1='selected-lohe'!$A$1:$A$357),0)),"")</f>
        <v/>
      </c>
      <c r="Y27" s="225" t="str">
        <f t="array" ref="Y27">IFERROR(INDEX('selected-lohe'!$B$1:$B$359,MATCH(1,(J27='selected-lohe'!$G$1:$G$357)*($K$3='selected-lohe'!$F$1:$F$357)*($A$1='selected-lohe'!$A$1:$A$357),0)),"")</f>
        <v/>
      </c>
      <c r="Z27" s="225" t="str">
        <f t="array" ref="Z27">IFERROR(INDEX('selected-lohe'!$B$1:$B$359,MATCH(1,(J27='selected-lohe'!$G$1:$G$357)*($K$3='selected-lohe'!$F$1:$F$357)*($C$1='selected-lohe'!$A$1:$A$357),0)),"")</f>
        <v/>
      </c>
      <c r="AA27" s="237" t="s">
        <v>46</v>
      </c>
      <c r="AB27" s="237" t="s">
        <v>210</v>
      </c>
      <c r="AC27" s="237" t="s">
        <v>44</v>
      </c>
      <c r="AD27" s="237"/>
      <c r="AE27" s="237" t="s">
        <v>136</v>
      </c>
      <c r="AF27" s="237" t="s">
        <v>139</v>
      </c>
      <c r="AG27" s="233"/>
      <c r="AH27" s="182"/>
      <c r="AI27" s="182"/>
      <c r="AJ27" s="182"/>
      <c r="AL27" s="182"/>
      <c r="AM27" s="182"/>
    </row>
    <row r="28" spans="1:39" ht="15.95" customHeight="1" x14ac:dyDescent="0.25">
      <c r="A28" s="237" t="s">
        <v>47</v>
      </c>
      <c r="B28" s="119" t="str">
        <f t="array" ref="B28">IFERROR(INDEX('selected-lohe'!$D$1:$D$359,MATCH(1,(A28='selected-lohe'!$G$1:$G$357)*($B$3='selected-lohe'!$F$1:$F$357)*($A$1='selected-lohe'!$A$1:$A$357),0))&amp;" "&amp;INDEX('selected-lohe'!$C$1:$C$359,MATCH(1,(A28='selected-lohe'!$G$1:$G$357)*($B$3='selected-lohe'!$F$1:$F$357)*($A$1='selected-lohe'!$A$1:$A$357),0)),"")</f>
        <v/>
      </c>
      <c r="C28" s="120" t="str">
        <f t="array" ref="C28">IFERROR(INDEX('selected-lohe'!$D$1:$D$359,MATCH(1,(A28='selected-lohe'!$G$1:$G$357)*($B$3='selected-lohe'!$F$1:$F$357)*($J$1='selected-lohe'!$A$1:$A$357),0))&amp;" "&amp;INDEX('selected-lohe'!$C$1:$C$359,MATCH(1,(A28='selected-lohe'!$G$1:$G$357)*($B$3='selected-lohe'!$F$1:$F$357)*($J$1='selected-lohe'!$A$1:$A$357),0)),"")</f>
        <v/>
      </c>
      <c r="D28" s="121"/>
      <c r="E28" s="121" t="str">
        <f t="array" ref="E28">IFERROR(INDEX('selected-lohe'!$D$1:$D$359,MATCH(1,(A28='selected-lohe'!$G$1:$G$357)*($B$3='selected-lohe'!$F$1:$F$357)*($C$1='selected-lohe'!$A$1:$A$357),0))&amp;" "&amp;INDEX('selected-lohe'!$C$1:$C$359,MATCH(1,(A28='selected-lohe'!$G$1:$G$357)*($B$3='selected-lohe'!$F$1:$F$357)*($C$1='selected-lohe'!$A$1:$A$357),0)),"")</f>
        <v/>
      </c>
      <c r="F28" s="122"/>
      <c r="G28" s="123"/>
      <c r="H28" s="124"/>
      <c r="I28" s="125"/>
      <c r="J28" s="237"/>
      <c r="K28" s="119" t="str">
        <f t="array" ref="K28">IFERROR(INDEX('selected-lohe'!$D$1:$D$359,MATCH(1,(J28='selected-lohe'!$G$1:$G$357)*($K$3='selected-lohe'!$F$1:$F$357)*($A$1='selected-lohe'!$A$1:$A$357),0))&amp;" "&amp;INDEX('selected-lohe'!$C$1:$C$359,MATCH(1,(J28='selected-lohe'!$G$1:$G$357)*($K$3='selected-lohe'!$F$1:$F$357)*($A$1='selected-lohe'!$A$1:$A$357),0)),"")</f>
        <v/>
      </c>
      <c r="L28" s="120" t="str">
        <f t="array" ref="L28">IFERROR(INDEX('selected-lohe'!$D$1:$D$359,MATCH(1,(J28='selected-lohe'!$G$1:$G$357)*($K$3='selected-lohe'!$F$1:$F$357)*($J$1='selected-lohe'!$A$1:$A$357),0))&amp;" "&amp;INDEX('selected-lohe'!$C$1:$C$359,MATCH(1,(J28='selected-lohe'!$G$1:$G$357)*($K$3='selected-lohe'!$F$1:$F$357)*($J$1='selected-lohe'!$A$1:$A$357),0)),"")</f>
        <v/>
      </c>
      <c r="M28" s="122"/>
      <c r="N28" s="121" t="str">
        <f t="array" ref="N28">IFERROR(INDEX('selected-lohe'!$D$1:$D$359,MATCH(1,(J28='selected-lohe'!$G$1:$G$357)*($K$3='selected-lohe'!$F$1:$F$357)*($C$1='selected-lohe'!$A$1:$A$357),0))&amp;" "&amp;INDEX('selected-lohe'!$C$1:$C$359,MATCH(1,(J28='selected-lohe'!$G$1:$G$357)*($K$3='selected-lohe'!$F$1:$F$357)*($C$1='selected-lohe'!$A$1:$A$357),0)),"")</f>
        <v/>
      </c>
      <c r="O28" s="122"/>
      <c r="P28" s="123"/>
      <c r="Q28" s="124"/>
      <c r="R28" s="94"/>
      <c r="S28" s="96"/>
      <c r="T28" s="232"/>
      <c r="W28" s="225" t="str">
        <f t="array" ref="W28">IFERROR(INDEX('selected-lohe'!$B$1:$B$359,MATCH(1,(A28='selected-lohe'!$G$1:$G$357)*($B$3='selected-lohe'!$F$1:$F$357)*($A$1='selected-lohe'!$A$1:$A$357),0)),"")</f>
        <v/>
      </c>
      <c r="X28" s="225" t="str">
        <f t="array" ref="X28">IFERROR(INDEX('selected-lohe'!$B$1:$B$359,MATCH(1,(A28='selected-lohe'!$G$1:$G$357)*($B$3='selected-lohe'!$F$1:$F$357)*($C$1='selected-lohe'!$A$1:$A$357),0)),"")</f>
        <v/>
      </c>
      <c r="Y28" s="225" t="str">
        <f t="array" ref="Y28">IFERROR(INDEX('selected-lohe'!$B$1:$B$359,MATCH(1,(J28='selected-lohe'!$G$1:$G$357)*($K$3='selected-lohe'!$F$1:$F$357)*($A$1='selected-lohe'!$A$1:$A$357),0)),"")</f>
        <v/>
      </c>
      <c r="Z28" s="225" t="str">
        <f t="array" ref="Z28">IFERROR(INDEX('selected-lohe'!$B$1:$B$359,MATCH(1,(J28='selected-lohe'!$G$1:$G$357)*($K$3='selected-lohe'!$F$1:$F$357)*($C$1='selected-lohe'!$A$1:$A$357),0)),"")</f>
        <v/>
      </c>
      <c r="AA28" s="237" t="s">
        <v>47</v>
      </c>
      <c r="AB28" s="237"/>
      <c r="AC28" s="237" t="s">
        <v>47</v>
      </c>
      <c r="AD28" s="237"/>
      <c r="AE28" s="237" t="s">
        <v>140</v>
      </c>
      <c r="AF28" s="237" t="s">
        <v>56</v>
      </c>
      <c r="AG28" s="233"/>
      <c r="AH28" s="182"/>
      <c r="AJ28" s="182"/>
      <c r="AL28" s="182"/>
      <c r="AM28" s="182"/>
    </row>
    <row r="29" spans="1:39" ht="15.95" customHeight="1" x14ac:dyDescent="0.25">
      <c r="A29" s="237" t="s">
        <v>172</v>
      </c>
      <c r="B29" s="119" t="str">
        <f t="array" ref="B29">IFERROR(INDEX('selected-lohe'!$D$1:$D$359,MATCH(1,(A29='selected-lohe'!$G$1:$G$357)*($B$3='selected-lohe'!$F$1:$F$357)*($A$1='selected-lohe'!$A$1:$A$357),0))&amp;" "&amp;INDEX('selected-lohe'!$C$1:$C$359,MATCH(1,(A29='selected-lohe'!$G$1:$G$357)*($B$3='selected-lohe'!$F$1:$F$357)*($A$1='selected-lohe'!$A$1:$A$357),0)),"")</f>
        <v/>
      </c>
      <c r="C29" s="120" t="str">
        <f t="array" ref="C29">IFERROR(INDEX('selected-lohe'!$D$1:$D$359,MATCH(1,(A29='selected-lohe'!$G$1:$G$357)*($B$3='selected-lohe'!$F$1:$F$357)*($J$1='selected-lohe'!$A$1:$A$357),0))&amp;" "&amp;INDEX('selected-lohe'!$C$1:$C$359,MATCH(1,(A29='selected-lohe'!$G$1:$G$357)*($B$3='selected-lohe'!$F$1:$F$357)*($J$1='selected-lohe'!$A$1:$A$357),0)),"")</f>
        <v/>
      </c>
      <c r="D29" s="121"/>
      <c r="E29" s="121" t="str">
        <f t="array" ref="E29">IFERROR(INDEX('selected-lohe'!$D$1:$D$359,MATCH(1,(A29='selected-lohe'!$G$1:$G$357)*($B$3='selected-lohe'!$F$1:$F$357)*($C$1='selected-lohe'!$A$1:$A$357),0))&amp;" "&amp;INDEX('selected-lohe'!$C$1:$C$359,MATCH(1,(A29='selected-lohe'!$G$1:$G$357)*($B$3='selected-lohe'!$F$1:$F$357)*($C$1='selected-lohe'!$A$1:$A$357),0)),"")</f>
        <v/>
      </c>
      <c r="F29" s="122"/>
      <c r="G29" s="123"/>
      <c r="H29" s="124"/>
      <c r="I29" s="125"/>
      <c r="J29" s="237" t="s">
        <v>118</v>
      </c>
      <c r="K29" s="119" t="str">
        <f t="array" ref="K29">IFERROR(INDEX('selected-lohe'!$D$1:$D$359,MATCH(1,(J29='selected-lohe'!$G$1:$G$357)*($K$3='selected-lohe'!$F$1:$F$357)*($A$1='selected-lohe'!$A$1:$A$357),0))&amp;" "&amp;INDEX('selected-lohe'!$C$1:$C$359,MATCH(1,(J29='selected-lohe'!$G$1:$G$357)*($K$3='selected-lohe'!$F$1:$F$357)*($A$1='selected-lohe'!$A$1:$A$357),0)),"")</f>
        <v/>
      </c>
      <c r="L29" s="120" t="str">
        <f t="array" ref="L29">IFERROR(INDEX('selected-lohe'!$D$1:$D$359,MATCH(1,(J29='selected-lohe'!$G$1:$G$357)*($K$3='selected-lohe'!$F$1:$F$357)*($J$1='selected-lohe'!$A$1:$A$357),0))&amp;" "&amp;INDEX('selected-lohe'!$C$1:$C$359,MATCH(1,(J29='selected-lohe'!$G$1:$G$357)*($K$3='selected-lohe'!$F$1:$F$357)*($J$1='selected-lohe'!$A$1:$A$357),0)),"")</f>
        <v/>
      </c>
      <c r="M29" s="122"/>
      <c r="N29" s="121" t="str">
        <f t="array" ref="N29">IFERROR(INDEX('selected-lohe'!$D$1:$D$359,MATCH(1,(J29='selected-lohe'!$G$1:$G$357)*($K$3='selected-lohe'!$F$1:$F$357)*($C$1='selected-lohe'!$A$1:$A$357),0))&amp;" "&amp;INDEX('selected-lohe'!$C$1:$C$359,MATCH(1,(J29='selected-lohe'!$G$1:$G$357)*($K$3='selected-lohe'!$F$1:$F$357)*($C$1='selected-lohe'!$A$1:$A$357),0)),"")</f>
        <v/>
      </c>
      <c r="O29" s="122"/>
      <c r="P29" s="123"/>
      <c r="Q29" s="124"/>
      <c r="R29" s="94"/>
      <c r="S29" s="96"/>
      <c r="T29" s="232"/>
      <c r="W29" s="225" t="str">
        <f t="array" ref="W29">IFERROR(INDEX('selected-lohe'!$B$1:$B$359,MATCH(1,(A29='selected-lohe'!$G$1:$G$357)*($B$3='selected-lohe'!$F$1:$F$357)*($A$1='selected-lohe'!$A$1:$A$357),0)),"")</f>
        <v/>
      </c>
      <c r="X29" s="225" t="str">
        <f t="array" ref="X29">IFERROR(INDEX('selected-lohe'!$B$1:$B$359,MATCH(1,(A29='selected-lohe'!$G$1:$G$357)*($B$3='selected-lohe'!$F$1:$F$357)*($C$1='selected-lohe'!$A$1:$A$357),0)),"")</f>
        <v/>
      </c>
      <c r="Y29" s="225" t="str">
        <f t="array" ref="Y29">IFERROR(INDEX('selected-lohe'!$B$1:$B$359,MATCH(1,(J29='selected-lohe'!$G$1:$G$357)*($K$3='selected-lohe'!$F$1:$F$357)*($A$1='selected-lohe'!$A$1:$A$357),0)),"")</f>
        <v/>
      </c>
      <c r="Z29" s="225" t="str">
        <f t="array" ref="Z29">IFERROR(INDEX('selected-lohe'!$B$1:$B$359,MATCH(1,(J29='selected-lohe'!$G$1:$G$357)*($K$3='selected-lohe'!$F$1:$F$357)*($C$1='selected-lohe'!$A$1:$A$357),0)),"")</f>
        <v/>
      </c>
      <c r="AA29" s="237" t="s">
        <v>172</v>
      </c>
      <c r="AB29" s="237"/>
      <c r="AC29" s="237" t="s">
        <v>172</v>
      </c>
      <c r="AD29" s="237" t="s">
        <v>118</v>
      </c>
      <c r="AE29" s="237" t="s">
        <v>142</v>
      </c>
      <c r="AF29" s="237" t="s">
        <v>144</v>
      </c>
      <c r="AG29" s="233"/>
      <c r="AH29" s="182"/>
      <c r="AJ29" s="182"/>
      <c r="AK29" s="182"/>
      <c r="AL29" s="182"/>
      <c r="AM29" s="182"/>
    </row>
    <row r="30" spans="1:39" ht="15.95" customHeight="1" x14ac:dyDescent="0.25">
      <c r="A30" s="237" t="s">
        <v>48</v>
      </c>
      <c r="B30" s="119" t="str">
        <f t="array" ref="B30">IFERROR(INDEX('selected-lohe'!$D$1:$D$359,MATCH(1,(A30='selected-lohe'!$G$1:$G$357)*($B$3='selected-lohe'!$F$1:$F$357)*($A$1='selected-lohe'!$A$1:$A$357),0))&amp;" "&amp;INDEX('selected-lohe'!$C$1:$C$359,MATCH(1,(A30='selected-lohe'!$G$1:$G$357)*($B$3='selected-lohe'!$F$1:$F$357)*($A$1='selected-lohe'!$A$1:$A$357),0)),"")</f>
        <v/>
      </c>
      <c r="C30" s="120" t="str">
        <f t="array" ref="C30">IFERROR(INDEX('selected-lohe'!$D$1:$D$359,MATCH(1,(A30='selected-lohe'!$G$1:$G$357)*($B$3='selected-lohe'!$F$1:$F$357)*($J$1='selected-lohe'!$A$1:$A$357),0))&amp;" "&amp;INDEX('selected-lohe'!$C$1:$C$359,MATCH(1,(A30='selected-lohe'!$G$1:$G$357)*($B$3='selected-lohe'!$F$1:$F$357)*($J$1='selected-lohe'!$A$1:$A$357),0)),"")</f>
        <v/>
      </c>
      <c r="D30" s="121"/>
      <c r="E30" s="121" t="str">
        <f t="array" ref="E30">IFERROR(INDEX('selected-lohe'!$D$1:$D$359,MATCH(1,(A30='selected-lohe'!$G$1:$G$357)*($B$3='selected-lohe'!$F$1:$F$357)*($C$1='selected-lohe'!$A$1:$A$357),0))&amp;" "&amp;INDEX('selected-lohe'!$C$1:$C$359,MATCH(1,(A30='selected-lohe'!$G$1:$G$357)*($B$3='selected-lohe'!$F$1:$F$357)*($C$1='selected-lohe'!$A$1:$A$357),0)),"")</f>
        <v/>
      </c>
      <c r="F30" s="122"/>
      <c r="G30" s="123"/>
      <c r="H30" s="124"/>
      <c r="I30" s="125"/>
      <c r="J30" s="237" t="s">
        <v>123</v>
      </c>
      <c r="K30" s="119" t="str">
        <f t="array" ref="K30">IFERROR(INDEX('selected-lohe'!$D$1:$D$359,MATCH(1,(J30='selected-lohe'!$G$1:$G$357)*($K$3='selected-lohe'!$F$1:$F$357)*($A$1='selected-lohe'!$A$1:$A$357),0))&amp;" "&amp;INDEX('selected-lohe'!$C$1:$C$359,MATCH(1,(J30='selected-lohe'!$G$1:$G$357)*($K$3='selected-lohe'!$F$1:$F$357)*($A$1='selected-lohe'!$A$1:$A$357),0)),"")</f>
        <v/>
      </c>
      <c r="L30" s="120" t="str">
        <f t="array" ref="L30">IFERROR(INDEX('selected-lohe'!$D$1:$D$359,MATCH(1,(J30='selected-lohe'!$G$1:$G$357)*($K$3='selected-lohe'!$F$1:$F$357)*($J$1='selected-lohe'!$A$1:$A$357),0))&amp;" "&amp;INDEX('selected-lohe'!$C$1:$C$359,MATCH(1,(J30='selected-lohe'!$G$1:$G$357)*($K$3='selected-lohe'!$F$1:$F$357)*($J$1='selected-lohe'!$A$1:$A$357),0)),"")</f>
        <v/>
      </c>
      <c r="M30" s="122"/>
      <c r="N30" s="121" t="str">
        <f t="array" ref="N30">IFERROR(INDEX('selected-lohe'!$D$1:$D$359,MATCH(1,(J30='selected-lohe'!$G$1:$G$357)*($K$3='selected-lohe'!$F$1:$F$357)*($C$1='selected-lohe'!$A$1:$A$357),0))&amp;" "&amp;INDEX('selected-lohe'!$C$1:$C$359,MATCH(1,(J30='selected-lohe'!$G$1:$G$357)*($K$3='selected-lohe'!$F$1:$F$357)*($C$1='selected-lohe'!$A$1:$A$357),0)),"")</f>
        <v/>
      </c>
      <c r="O30" s="122"/>
      <c r="P30" s="123"/>
      <c r="Q30" s="124"/>
      <c r="R30" s="94"/>
      <c r="S30" s="96"/>
      <c r="T30" s="232"/>
      <c r="W30" s="225" t="str">
        <f t="array" ref="W30">IFERROR(INDEX('selected-lohe'!$B$1:$B$359,MATCH(1,(A30='selected-lohe'!$G$1:$G$357)*($B$3='selected-lohe'!$F$1:$F$357)*($A$1='selected-lohe'!$A$1:$A$357),0)),"")</f>
        <v/>
      </c>
      <c r="X30" s="225" t="str">
        <f t="array" ref="X30">IFERROR(INDEX('selected-lohe'!$B$1:$B$359,MATCH(1,(A30='selected-lohe'!$G$1:$G$357)*($B$3='selected-lohe'!$F$1:$F$357)*($C$1='selected-lohe'!$A$1:$A$357),0)),"")</f>
        <v/>
      </c>
      <c r="Y30" s="225" t="str">
        <f t="array" ref="Y30">IFERROR(INDEX('selected-lohe'!$B$1:$B$359,MATCH(1,(J30='selected-lohe'!$G$1:$G$357)*($K$3='selected-lohe'!$F$1:$F$357)*($A$1='selected-lohe'!$A$1:$A$357),0)),"")</f>
        <v/>
      </c>
      <c r="Z30" s="225" t="str">
        <f t="array" ref="Z30">IFERROR(INDEX('selected-lohe'!$B$1:$B$359,MATCH(1,(J30='selected-lohe'!$G$1:$G$357)*($K$3='selected-lohe'!$F$1:$F$357)*($C$1='selected-lohe'!$A$1:$A$357),0)),"")</f>
        <v/>
      </c>
      <c r="AA30" s="237" t="s">
        <v>48</v>
      </c>
      <c r="AB30" s="237" t="s">
        <v>212</v>
      </c>
      <c r="AC30" s="237" t="s">
        <v>48</v>
      </c>
      <c r="AD30" s="237" t="s">
        <v>123</v>
      </c>
      <c r="AE30" s="237" t="s">
        <v>146</v>
      </c>
      <c r="AF30" s="237" t="s">
        <v>149</v>
      </c>
      <c r="AG30" s="233"/>
      <c r="AH30" s="182"/>
      <c r="AI30" s="182"/>
      <c r="AJ30" s="182"/>
      <c r="AK30" s="182"/>
      <c r="AL30" s="182"/>
      <c r="AM30" s="182"/>
    </row>
    <row r="31" spans="1:39" ht="15.95" customHeight="1" x14ac:dyDescent="0.25">
      <c r="A31" s="237" t="s">
        <v>50</v>
      </c>
      <c r="B31" s="119" t="str">
        <f t="array" ref="B31">IFERROR(INDEX('selected-lohe'!$D$1:$D$359,MATCH(1,(A31='selected-lohe'!$G$1:$G$357)*($B$3='selected-lohe'!$F$1:$F$357)*($A$1='selected-lohe'!$A$1:$A$357),0))&amp;" "&amp;INDEX('selected-lohe'!$C$1:$C$359,MATCH(1,(A31='selected-lohe'!$G$1:$G$357)*($B$3='selected-lohe'!$F$1:$F$357)*($A$1='selected-lohe'!$A$1:$A$357),0)),"")</f>
        <v/>
      </c>
      <c r="C31" s="120" t="str">
        <f t="array" ref="C31">IFERROR(INDEX('selected-lohe'!$D$1:$D$359,MATCH(1,(A31='selected-lohe'!$G$1:$G$357)*($B$3='selected-lohe'!$F$1:$F$357)*($J$1='selected-lohe'!$A$1:$A$357),0))&amp;" "&amp;INDEX('selected-lohe'!$C$1:$C$359,MATCH(1,(A31='selected-lohe'!$G$1:$G$357)*($B$3='selected-lohe'!$F$1:$F$357)*($J$1='selected-lohe'!$A$1:$A$357),0)),"")</f>
        <v/>
      </c>
      <c r="D31" s="121"/>
      <c r="E31" s="121" t="str">
        <f t="array" ref="E31">IFERROR(INDEX('selected-lohe'!$D$1:$D$359,MATCH(1,(A31='selected-lohe'!$G$1:$G$357)*($B$3='selected-lohe'!$F$1:$F$357)*($C$1='selected-lohe'!$A$1:$A$357),0))&amp;" "&amp;INDEX('selected-lohe'!$C$1:$C$359,MATCH(1,(A31='selected-lohe'!$G$1:$G$357)*($B$3='selected-lohe'!$F$1:$F$357)*($C$1='selected-lohe'!$A$1:$A$357),0)),"")</f>
        <v/>
      </c>
      <c r="F31" s="122"/>
      <c r="G31" s="123"/>
      <c r="H31" s="124"/>
      <c r="I31" s="125"/>
      <c r="J31" s="237"/>
      <c r="K31" s="119" t="str">
        <f t="array" ref="K31">IFERROR(INDEX('selected-lohe'!$D$1:$D$359,MATCH(1,(J31='selected-lohe'!$G$1:$G$357)*($K$3='selected-lohe'!$F$1:$F$357)*($A$1='selected-lohe'!$A$1:$A$357),0))&amp;" "&amp;INDEX('selected-lohe'!$C$1:$C$359,MATCH(1,(J31='selected-lohe'!$G$1:$G$357)*($K$3='selected-lohe'!$F$1:$F$357)*($A$1='selected-lohe'!$A$1:$A$357),0)),"")</f>
        <v/>
      </c>
      <c r="L31" s="120" t="str">
        <f t="array" ref="L31">IFERROR(INDEX('selected-lohe'!$D$1:$D$359,MATCH(1,(J31='selected-lohe'!$G$1:$G$357)*($K$3='selected-lohe'!$F$1:$F$357)*($J$1='selected-lohe'!$A$1:$A$357),0))&amp;" "&amp;INDEX('selected-lohe'!$C$1:$C$359,MATCH(1,(J31='selected-lohe'!$G$1:$G$357)*($K$3='selected-lohe'!$F$1:$F$357)*($J$1='selected-lohe'!$A$1:$A$357),0)),"")</f>
        <v/>
      </c>
      <c r="M31" s="122"/>
      <c r="N31" s="121" t="str">
        <f t="array" ref="N31">IFERROR(INDEX('selected-lohe'!$D$1:$D$359,MATCH(1,(J31='selected-lohe'!$G$1:$G$357)*($K$3='selected-lohe'!$F$1:$F$357)*($C$1='selected-lohe'!$A$1:$A$357),0))&amp;" "&amp;INDEX('selected-lohe'!$C$1:$C$359,MATCH(1,(J31='selected-lohe'!$G$1:$G$357)*($K$3='selected-lohe'!$F$1:$F$357)*($C$1='selected-lohe'!$A$1:$A$357),0)),"")</f>
        <v/>
      </c>
      <c r="O31" s="122"/>
      <c r="P31" s="123"/>
      <c r="Q31" s="124"/>
      <c r="R31" s="94"/>
      <c r="S31" s="96"/>
      <c r="T31" s="232"/>
      <c r="W31" s="225" t="str">
        <f t="array" ref="W31">IFERROR(INDEX('selected-lohe'!$B$1:$B$359,MATCH(1,(A31='selected-lohe'!$G$1:$G$357)*($B$3='selected-lohe'!$F$1:$F$357)*($A$1='selected-lohe'!$A$1:$A$357),0)),"")</f>
        <v/>
      </c>
      <c r="X31" s="225" t="str">
        <f t="array" ref="X31">IFERROR(INDEX('selected-lohe'!$B$1:$B$359,MATCH(1,(A31='selected-lohe'!$G$1:$G$357)*($B$3='selected-lohe'!$F$1:$F$357)*($C$1='selected-lohe'!$A$1:$A$357),0)),"")</f>
        <v/>
      </c>
      <c r="Y31" s="225" t="str">
        <f t="array" ref="Y31">IFERROR(INDEX('selected-lohe'!$B$1:$B$359,MATCH(1,(J31='selected-lohe'!$G$1:$G$357)*($K$3='selected-lohe'!$F$1:$F$357)*($A$1='selected-lohe'!$A$1:$A$357),0)),"")</f>
        <v/>
      </c>
      <c r="Z31" s="225" t="str">
        <f t="array" ref="Z31">IFERROR(INDEX('selected-lohe'!$B$1:$B$359,MATCH(1,(J31='selected-lohe'!$G$1:$G$357)*($K$3='selected-lohe'!$F$1:$F$357)*($C$1='selected-lohe'!$A$1:$A$357),0)),"")</f>
        <v/>
      </c>
      <c r="AA31" s="237" t="s">
        <v>49</v>
      </c>
      <c r="AB31" s="237"/>
      <c r="AC31" s="237" t="s">
        <v>50</v>
      </c>
      <c r="AD31" s="237"/>
      <c r="AE31" s="237" t="s">
        <v>150</v>
      </c>
      <c r="AF31" s="237" t="s">
        <v>151</v>
      </c>
      <c r="AG31" s="233"/>
      <c r="AH31" s="182"/>
      <c r="AJ31" s="182"/>
      <c r="AL31" s="182"/>
      <c r="AM31" s="182"/>
    </row>
    <row r="32" spans="1:39" ht="15.95" customHeight="1" x14ac:dyDescent="0.25">
      <c r="A32" s="237" t="s">
        <v>51</v>
      </c>
      <c r="B32" s="119" t="str">
        <f t="array" ref="B32">IFERROR(INDEX('selected-lohe'!$D$1:$D$359,MATCH(1,(A32='selected-lohe'!$G$1:$G$357)*($B$3='selected-lohe'!$F$1:$F$357)*($A$1='selected-lohe'!$A$1:$A$357),0))&amp;" "&amp;INDEX('selected-lohe'!$C$1:$C$359,MATCH(1,(A32='selected-lohe'!$G$1:$G$357)*($B$3='selected-lohe'!$F$1:$F$357)*($A$1='selected-lohe'!$A$1:$A$357),0)),"")</f>
        <v/>
      </c>
      <c r="C32" s="120" t="str">
        <f t="array" ref="C32">IFERROR(INDEX('selected-lohe'!$D$1:$D$359,MATCH(1,(A32='selected-lohe'!$G$1:$G$357)*($B$3='selected-lohe'!$F$1:$F$357)*($J$1='selected-lohe'!$A$1:$A$357),0))&amp;" "&amp;INDEX('selected-lohe'!$C$1:$C$359,MATCH(1,(A32='selected-lohe'!$G$1:$G$357)*($B$3='selected-lohe'!$F$1:$F$357)*($J$1='selected-lohe'!$A$1:$A$357),0)),"")</f>
        <v/>
      </c>
      <c r="D32" s="121"/>
      <c r="E32" s="121" t="str">
        <f t="array" ref="E32">IFERROR(INDEX('selected-lohe'!$D$1:$D$359,MATCH(1,(A32='selected-lohe'!$G$1:$G$357)*($B$3='selected-lohe'!$F$1:$F$357)*($C$1='selected-lohe'!$A$1:$A$357),0))&amp;" "&amp;INDEX('selected-lohe'!$C$1:$C$359,MATCH(1,(A32='selected-lohe'!$G$1:$G$357)*($B$3='selected-lohe'!$F$1:$F$357)*($C$1='selected-lohe'!$A$1:$A$357),0)),"")</f>
        <v/>
      </c>
      <c r="F32" s="122"/>
      <c r="G32" s="123"/>
      <c r="H32" s="124"/>
      <c r="I32" s="125"/>
      <c r="J32" s="237" t="s">
        <v>133</v>
      </c>
      <c r="K32" s="119" t="str">
        <f t="array" ref="K32">IFERROR(INDEX('selected-lohe'!$D$1:$D$359,MATCH(1,(J32='selected-lohe'!$G$1:$G$357)*($K$3='selected-lohe'!$F$1:$F$357)*($A$1='selected-lohe'!$A$1:$A$357),0))&amp;" "&amp;INDEX('selected-lohe'!$C$1:$C$359,MATCH(1,(J32='selected-lohe'!$G$1:$G$357)*($K$3='selected-lohe'!$F$1:$F$357)*($A$1='selected-lohe'!$A$1:$A$357),0)),"")</f>
        <v/>
      </c>
      <c r="L32" s="120" t="str">
        <f t="array" ref="L32">IFERROR(INDEX('selected-lohe'!$D$1:$D$359,MATCH(1,(J32='selected-lohe'!$G$1:$G$357)*($K$3='selected-lohe'!$F$1:$F$357)*($J$1='selected-lohe'!$A$1:$A$357),0))&amp;" "&amp;INDEX('selected-lohe'!$C$1:$C$359,MATCH(1,(J32='selected-lohe'!$G$1:$G$357)*($K$3='selected-lohe'!$F$1:$F$357)*($J$1='selected-lohe'!$A$1:$A$357),0)),"")</f>
        <v/>
      </c>
      <c r="M32" s="122"/>
      <c r="N32" s="121" t="str">
        <f t="array" ref="N32">IFERROR(INDEX('selected-lohe'!$D$1:$D$359,MATCH(1,(J32='selected-lohe'!$G$1:$G$357)*($K$3='selected-lohe'!$F$1:$F$357)*($C$1='selected-lohe'!$A$1:$A$357),0))&amp;" "&amp;INDEX('selected-lohe'!$C$1:$C$359,MATCH(1,(J32='selected-lohe'!$G$1:$G$357)*($K$3='selected-lohe'!$F$1:$F$357)*($C$1='selected-lohe'!$A$1:$A$357),0)),"")</f>
        <v/>
      </c>
      <c r="O32" s="122"/>
      <c r="P32" s="123"/>
      <c r="Q32" s="124"/>
      <c r="R32" s="94"/>
      <c r="S32" s="96"/>
      <c r="T32" s="232"/>
      <c r="W32" s="225" t="str">
        <f t="array" ref="W32">IFERROR(INDEX('selected-lohe'!$B$1:$B$359,MATCH(1,(A32='selected-lohe'!$G$1:$G$357)*($B$3='selected-lohe'!$F$1:$F$357)*($A$1='selected-lohe'!$A$1:$A$357),0)),"")</f>
        <v/>
      </c>
      <c r="X32" s="225" t="str">
        <f t="array" ref="X32">IFERROR(INDEX('selected-lohe'!$B$1:$B$359,MATCH(1,(A32='selected-lohe'!$G$1:$G$357)*($B$3='selected-lohe'!$F$1:$F$357)*($C$1='selected-lohe'!$A$1:$A$357),0)),"")</f>
        <v/>
      </c>
      <c r="Y32" s="225" t="str">
        <f t="array" ref="Y32">IFERROR(INDEX('selected-lohe'!$B$1:$B$359,MATCH(1,(J32='selected-lohe'!$G$1:$G$357)*($K$3='selected-lohe'!$F$1:$F$357)*($A$1='selected-lohe'!$A$1:$A$357),0)),"")</f>
        <v/>
      </c>
      <c r="Z32" s="225" t="str">
        <f t="array" ref="Z32">IFERROR(INDEX('selected-lohe'!$B$1:$B$359,MATCH(1,(J32='selected-lohe'!$G$1:$G$357)*($K$3='selected-lohe'!$F$1:$F$357)*($C$1='selected-lohe'!$A$1:$A$357),0)),"")</f>
        <v/>
      </c>
      <c r="AA32" s="237" t="s">
        <v>50</v>
      </c>
      <c r="AB32" s="237"/>
      <c r="AC32" s="237" t="s">
        <v>51</v>
      </c>
      <c r="AD32" s="237" t="s">
        <v>133</v>
      </c>
      <c r="AE32" s="237" t="s">
        <v>152</v>
      </c>
      <c r="AF32" s="237" t="s">
        <v>153</v>
      </c>
      <c r="AG32" s="233"/>
      <c r="AH32" s="182"/>
      <c r="AJ32" s="182"/>
      <c r="AK32" s="182"/>
      <c r="AL32" s="182"/>
      <c r="AM32" s="182"/>
    </row>
    <row r="33" spans="1:39" ht="15.95" customHeight="1" x14ac:dyDescent="0.25">
      <c r="A33" s="237" t="s">
        <v>174</v>
      </c>
      <c r="B33" s="119" t="str">
        <f t="array" ref="B33">IFERROR(INDEX('selected-lohe'!$D$1:$D$359,MATCH(1,(A33='selected-lohe'!$G$1:$G$357)*($B$3='selected-lohe'!$F$1:$F$357)*($A$1='selected-lohe'!$A$1:$A$357),0))&amp;" "&amp;INDEX('selected-lohe'!$C$1:$C$359,MATCH(1,(A33='selected-lohe'!$G$1:$G$357)*($B$3='selected-lohe'!$F$1:$F$357)*($A$1='selected-lohe'!$A$1:$A$357),0)),"")</f>
        <v/>
      </c>
      <c r="C33" s="120" t="str">
        <f t="array" ref="C33">IFERROR(INDEX('selected-lohe'!$D$1:$D$359,MATCH(1,(A33='selected-lohe'!$G$1:$G$357)*($B$3='selected-lohe'!$F$1:$F$357)*($J$1='selected-lohe'!$A$1:$A$357),0))&amp;" "&amp;INDEX('selected-lohe'!$C$1:$C$359,MATCH(1,(A33='selected-lohe'!$G$1:$G$357)*($B$3='selected-lohe'!$F$1:$F$357)*($J$1='selected-lohe'!$A$1:$A$357),0)),"")</f>
        <v/>
      </c>
      <c r="D33" s="121"/>
      <c r="E33" s="121" t="str">
        <f t="array" ref="E33">IFERROR(INDEX('selected-lohe'!$D$1:$D$359,MATCH(1,(A33='selected-lohe'!$G$1:$G$357)*($B$3='selected-lohe'!$F$1:$F$357)*($C$1='selected-lohe'!$A$1:$A$357),0))&amp;" "&amp;INDEX('selected-lohe'!$C$1:$C$359,MATCH(1,(A33='selected-lohe'!$G$1:$G$357)*($B$3='selected-lohe'!$F$1:$F$357)*($C$1='selected-lohe'!$A$1:$A$357),0)),"")</f>
        <v/>
      </c>
      <c r="F33" s="122"/>
      <c r="G33" s="123"/>
      <c r="H33" s="124"/>
      <c r="I33" s="125"/>
      <c r="J33" s="237" t="s">
        <v>150</v>
      </c>
      <c r="K33" s="119" t="str">
        <f t="array" ref="K33">IFERROR(INDEX('selected-lohe'!$D$1:$D$359,MATCH(1,(J33='selected-lohe'!$G$1:$G$357)*($K$3='selected-lohe'!$F$1:$F$357)*($A$1='selected-lohe'!$A$1:$A$357),0))&amp;" "&amp;INDEX('selected-lohe'!$C$1:$C$359,MATCH(1,(J33='selected-lohe'!$G$1:$G$357)*($K$3='selected-lohe'!$F$1:$F$357)*($A$1='selected-lohe'!$A$1:$A$357),0)),"")</f>
        <v/>
      </c>
      <c r="L33" s="120" t="str">
        <f t="array" ref="L33">IFERROR(INDEX('selected-lohe'!$D$1:$D$359,MATCH(1,(J33='selected-lohe'!$G$1:$G$357)*($K$3='selected-lohe'!$F$1:$F$357)*($J$1='selected-lohe'!$A$1:$A$357),0))&amp;" "&amp;INDEX('selected-lohe'!$C$1:$C$359,MATCH(1,(J33='selected-lohe'!$G$1:$G$357)*($K$3='selected-lohe'!$F$1:$F$357)*($J$1='selected-lohe'!$A$1:$A$357),0)),"")</f>
        <v/>
      </c>
      <c r="M33" s="122"/>
      <c r="N33" s="121" t="str">
        <f t="array" ref="N33">IFERROR(INDEX('selected-lohe'!$D$1:$D$359,MATCH(1,(J33='selected-lohe'!$G$1:$G$357)*($K$3='selected-lohe'!$F$1:$F$357)*($C$1='selected-lohe'!$A$1:$A$357),0))&amp;" "&amp;INDEX('selected-lohe'!$C$1:$C$359,MATCH(1,(J33='selected-lohe'!$G$1:$G$357)*($K$3='selected-lohe'!$F$1:$F$357)*($C$1='selected-lohe'!$A$1:$A$357),0)),"")</f>
        <v/>
      </c>
      <c r="O33" s="122"/>
      <c r="P33" s="123"/>
      <c r="Q33" s="124"/>
      <c r="R33" s="94"/>
      <c r="S33" s="96"/>
      <c r="T33" s="232"/>
      <c r="W33" s="225" t="str">
        <f t="array" ref="W33">IFERROR(INDEX('selected-lohe'!$B$1:$B$359,MATCH(1,(A33='selected-lohe'!$G$1:$G$357)*($B$3='selected-lohe'!$F$1:$F$357)*($A$1='selected-lohe'!$A$1:$A$357),0)),"")</f>
        <v/>
      </c>
      <c r="X33" s="225" t="str">
        <f t="array" ref="X33">IFERROR(INDEX('selected-lohe'!$B$1:$B$359,MATCH(1,(A33='selected-lohe'!$G$1:$G$357)*($B$3='selected-lohe'!$F$1:$F$357)*($C$1='selected-lohe'!$A$1:$A$357),0)),"")</f>
        <v/>
      </c>
      <c r="Y33" s="225" t="str">
        <f t="array" ref="Y33">IFERROR(INDEX('selected-lohe'!$B$1:$B$359,MATCH(1,(J33='selected-lohe'!$G$1:$G$357)*($K$3='selected-lohe'!$F$1:$F$357)*($A$1='selected-lohe'!$A$1:$A$357),0)),"")</f>
        <v/>
      </c>
      <c r="Z33" s="225" t="str">
        <f t="array" ref="Z33">IFERROR(INDEX('selected-lohe'!$B$1:$B$359,MATCH(1,(J33='selected-lohe'!$G$1:$G$357)*($K$3='selected-lohe'!$F$1:$F$357)*($C$1='selected-lohe'!$A$1:$A$357),0)),"")</f>
        <v/>
      </c>
      <c r="AA33" s="237" t="s">
        <v>51</v>
      </c>
      <c r="AB33" s="237" t="s">
        <v>126</v>
      </c>
      <c r="AC33" s="237" t="s">
        <v>174</v>
      </c>
      <c r="AD33" s="237" t="s">
        <v>150</v>
      </c>
      <c r="AE33" s="237" t="s">
        <v>154</v>
      </c>
      <c r="AF33" s="237" t="s">
        <v>156</v>
      </c>
      <c r="AG33" s="233"/>
      <c r="AH33" s="182"/>
      <c r="AI33" s="182"/>
      <c r="AJ33" s="182"/>
      <c r="AK33" s="182"/>
      <c r="AL33" s="182"/>
      <c r="AM33" s="182"/>
    </row>
    <row r="34" spans="1:39" ht="15.95" customHeight="1" x14ac:dyDescent="0.25">
      <c r="A34" s="237" t="s">
        <v>175</v>
      </c>
      <c r="B34" s="119" t="str">
        <f t="array" ref="B34">IFERROR(INDEX('selected-lohe'!$D$1:$D$359,MATCH(1,(A34='selected-lohe'!$G$1:$G$357)*($B$3='selected-lohe'!$F$1:$F$357)*($A$1='selected-lohe'!$A$1:$A$357),0))&amp;" "&amp;INDEX('selected-lohe'!$C$1:$C$359,MATCH(1,(A34='selected-lohe'!$G$1:$G$357)*($B$3='selected-lohe'!$F$1:$F$357)*($A$1='selected-lohe'!$A$1:$A$357),0)),"")</f>
        <v/>
      </c>
      <c r="C34" s="120" t="str">
        <f t="array" ref="C34">IFERROR(INDEX('selected-lohe'!$D$1:$D$359,MATCH(1,(A34='selected-lohe'!$G$1:$G$357)*($B$3='selected-lohe'!$F$1:$F$357)*($J$1='selected-lohe'!$A$1:$A$357),0))&amp;" "&amp;INDEX('selected-lohe'!$C$1:$C$359,MATCH(1,(A34='selected-lohe'!$G$1:$G$357)*($B$3='selected-lohe'!$F$1:$F$357)*($J$1='selected-lohe'!$A$1:$A$357),0)),"")</f>
        <v/>
      </c>
      <c r="D34" s="121"/>
      <c r="E34" s="121" t="str">
        <f t="array" ref="E34">IFERROR(INDEX('selected-lohe'!$D$1:$D$359,MATCH(1,(A34='selected-lohe'!$G$1:$G$357)*($B$3='selected-lohe'!$F$1:$F$357)*($C$1='selected-lohe'!$A$1:$A$357),0))&amp;" "&amp;INDEX('selected-lohe'!$C$1:$C$359,MATCH(1,(A34='selected-lohe'!$G$1:$G$357)*($B$3='selected-lohe'!$F$1:$F$357)*($C$1='selected-lohe'!$A$1:$A$357),0)),"")</f>
        <v/>
      </c>
      <c r="F34" s="122"/>
      <c r="G34" s="123"/>
      <c r="H34" s="124"/>
      <c r="I34" s="125"/>
      <c r="J34" s="237"/>
      <c r="K34" s="119" t="str">
        <f t="array" ref="K34">IFERROR(INDEX('selected-lohe'!$D$1:$D$359,MATCH(1,(J34='selected-lohe'!$G$1:$G$357)*($K$3='selected-lohe'!$F$1:$F$357)*($A$1='selected-lohe'!$A$1:$A$357),0))&amp;" "&amp;INDEX('selected-lohe'!$C$1:$C$359,MATCH(1,(J34='selected-lohe'!$G$1:$G$357)*($K$3='selected-lohe'!$F$1:$F$357)*($A$1='selected-lohe'!$A$1:$A$357),0)),"")</f>
        <v/>
      </c>
      <c r="L34" s="120" t="str">
        <f t="array" ref="L34">IFERROR(INDEX('selected-lohe'!$D$1:$D$359,MATCH(1,(J34='selected-lohe'!$G$1:$G$357)*($K$3='selected-lohe'!$F$1:$F$357)*($J$1='selected-lohe'!$A$1:$A$357),0))&amp;" "&amp;INDEX('selected-lohe'!$C$1:$C$359,MATCH(1,(J34='selected-lohe'!$G$1:$G$357)*($K$3='selected-lohe'!$F$1:$F$357)*($J$1='selected-lohe'!$A$1:$A$357),0)),"")</f>
        <v/>
      </c>
      <c r="M34" s="122"/>
      <c r="N34" s="121" t="str">
        <f t="array" ref="N34">IFERROR(INDEX('selected-lohe'!$D$1:$D$359,MATCH(1,(J34='selected-lohe'!$G$1:$G$357)*($K$3='selected-lohe'!$F$1:$F$357)*($C$1='selected-lohe'!$A$1:$A$357),0))&amp;" "&amp;INDEX('selected-lohe'!$C$1:$C$359,MATCH(1,(J34='selected-lohe'!$G$1:$G$357)*($K$3='selected-lohe'!$F$1:$F$357)*($C$1='selected-lohe'!$A$1:$A$357),0)),"")</f>
        <v/>
      </c>
      <c r="O34" s="122"/>
      <c r="P34" s="123"/>
      <c r="Q34" s="124"/>
      <c r="R34" s="94"/>
      <c r="S34" s="96"/>
      <c r="T34" s="232"/>
      <c r="W34" s="225" t="str">
        <f t="array" ref="W34">IFERROR(INDEX('selected-lohe'!$B$1:$B$359,MATCH(1,(A34='selected-lohe'!$G$1:$G$357)*($B$3='selected-lohe'!$F$1:$F$357)*($A$1='selected-lohe'!$A$1:$A$357),0)),"")</f>
        <v/>
      </c>
      <c r="X34" s="225" t="str">
        <f t="array" ref="X34">IFERROR(INDEX('selected-lohe'!$B$1:$B$359,MATCH(1,(A34='selected-lohe'!$G$1:$G$357)*($B$3='selected-lohe'!$F$1:$F$357)*($C$1='selected-lohe'!$A$1:$A$357),0)),"")</f>
        <v/>
      </c>
      <c r="Y34" s="225" t="str">
        <f t="array" ref="Y34">IFERROR(INDEX('selected-lohe'!$B$1:$B$359,MATCH(1,(J34='selected-lohe'!$G$1:$G$357)*($K$3='selected-lohe'!$F$1:$F$357)*($A$1='selected-lohe'!$A$1:$A$357),0)),"")</f>
        <v/>
      </c>
      <c r="Z34" s="225" t="str">
        <f t="array" ref="Z34">IFERROR(INDEX('selected-lohe'!$B$1:$B$359,MATCH(1,(J34='selected-lohe'!$G$1:$G$357)*($K$3='selected-lohe'!$F$1:$F$357)*($C$1='selected-lohe'!$A$1:$A$357),0)),"")</f>
        <v/>
      </c>
      <c r="AA34" s="237" t="s">
        <v>178</v>
      </c>
      <c r="AB34" s="237"/>
      <c r="AC34" s="237" t="s">
        <v>175</v>
      </c>
      <c r="AD34" s="237"/>
      <c r="AE34" s="237" t="s">
        <v>157</v>
      </c>
      <c r="AF34" s="237" t="s">
        <v>158</v>
      </c>
      <c r="AG34" s="233"/>
      <c r="AH34" s="182"/>
      <c r="AJ34" s="182"/>
      <c r="AL34" s="182"/>
      <c r="AM34" s="182"/>
    </row>
    <row r="35" spans="1:39" ht="15.95" customHeight="1" x14ac:dyDescent="0.25">
      <c r="A35" s="237" t="s">
        <v>53</v>
      </c>
      <c r="B35" s="119" t="str">
        <f t="array" ref="B35">IFERROR(INDEX('selected-lohe'!$D$1:$D$359,MATCH(1,(A35='selected-lohe'!$G$1:$G$357)*($B$3='selected-lohe'!$F$1:$F$357)*($A$1='selected-lohe'!$A$1:$A$357),0))&amp;" "&amp;INDEX('selected-lohe'!$C$1:$C$359,MATCH(1,(A35='selected-lohe'!$G$1:$G$357)*($B$3='selected-lohe'!$F$1:$F$357)*($A$1='selected-lohe'!$A$1:$A$357),0)),"")</f>
        <v/>
      </c>
      <c r="C35" s="120" t="str">
        <f t="array" ref="C35">IFERROR(INDEX('selected-lohe'!$D$1:$D$359,MATCH(1,(A35='selected-lohe'!$G$1:$G$357)*($B$3='selected-lohe'!$F$1:$F$357)*($J$1='selected-lohe'!$A$1:$A$357),0))&amp;" "&amp;INDEX('selected-lohe'!$C$1:$C$359,MATCH(1,(A35='selected-lohe'!$G$1:$G$357)*($B$3='selected-lohe'!$F$1:$F$357)*($J$1='selected-lohe'!$A$1:$A$357),0)),"")</f>
        <v/>
      </c>
      <c r="D35" s="132"/>
      <c r="E35" s="121" t="str">
        <f t="array" ref="E35">IFERROR(INDEX('selected-lohe'!$D$1:$D$359,MATCH(1,(A35='selected-lohe'!$G$1:$G$357)*($B$3='selected-lohe'!$F$1:$F$357)*($C$1='selected-lohe'!$A$1:$A$357),0))&amp;" "&amp;INDEX('selected-lohe'!$C$1:$C$359,MATCH(1,(A35='selected-lohe'!$G$1:$G$357)*($B$3='selected-lohe'!$F$1:$F$357)*($C$1='selected-lohe'!$A$1:$A$357),0)),"")</f>
        <v/>
      </c>
      <c r="F35" s="132"/>
      <c r="G35" s="132"/>
      <c r="H35" s="133"/>
      <c r="I35" s="33"/>
      <c r="J35" s="237" t="s">
        <v>163</v>
      </c>
      <c r="K35" s="119" t="str">
        <f t="array" ref="K35">IFERROR(INDEX('selected-lohe'!$D$1:$D$359,MATCH(1,(J35='selected-lohe'!$G$1:$G$357)*($K$3='selected-lohe'!$F$1:$F$357)*($A$1='selected-lohe'!$A$1:$A$357),0))&amp;" "&amp;INDEX('selected-lohe'!$C$1:$C$359,MATCH(1,(J35='selected-lohe'!$G$1:$G$357)*($K$3='selected-lohe'!$F$1:$F$357)*($A$1='selected-lohe'!$A$1:$A$357),0)),"")</f>
        <v/>
      </c>
      <c r="L35" s="120" t="str">
        <f t="array" ref="L35">IFERROR(INDEX('selected-lohe'!$D$1:$D$359,MATCH(1,(J35='selected-lohe'!$G$1:$G$357)*($K$3='selected-lohe'!$F$1:$F$357)*($J$1='selected-lohe'!$A$1:$A$357),0))&amp;" "&amp;INDEX('selected-lohe'!$C$1:$C$359,MATCH(1,(J35='selected-lohe'!$G$1:$G$357)*($K$3='selected-lohe'!$F$1:$F$357)*($J$1='selected-lohe'!$A$1:$A$357),0)),"")</f>
        <v/>
      </c>
      <c r="M35" s="132"/>
      <c r="N35" s="121" t="str">
        <f t="array" ref="N35">IFERROR(INDEX('selected-lohe'!$D$1:$D$359,MATCH(1,(J35='selected-lohe'!$G$1:$G$357)*($K$3='selected-lohe'!$F$1:$F$357)*($C$1='selected-lohe'!$A$1:$A$357),0))&amp;" "&amp;INDEX('selected-lohe'!$C$1:$C$359,MATCH(1,(J35='selected-lohe'!$G$1:$G$357)*($K$3='selected-lohe'!$F$1:$F$357)*($C$1='selected-lohe'!$A$1:$A$357),0)),"")</f>
        <v/>
      </c>
      <c r="O35" s="132"/>
      <c r="P35" s="132"/>
      <c r="Q35" s="133"/>
      <c r="R35" s="94"/>
      <c r="S35" s="94"/>
      <c r="W35" s="225" t="str">
        <f t="array" ref="W35">IFERROR(INDEX('selected-lohe'!$B$1:$B$359,MATCH(1,(A35='selected-lohe'!$G$1:$G$357)*($B$3='selected-lohe'!$F$1:$F$357)*($A$1='selected-lohe'!$A$1:$A$357),0)),"")</f>
        <v/>
      </c>
      <c r="X35" s="225" t="str">
        <f t="array" ref="X35">IFERROR(INDEX('selected-lohe'!$B$1:$B$359,MATCH(1,(A35='selected-lohe'!$G$1:$G$357)*($B$3='selected-lohe'!$F$1:$F$357)*($C$1='selected-lohe'!$A$1:$A$357),0)),"")</f>
        <v/>
      </c>
      <c r="Y35" s="225" t="str">
        <f t="array" ref="Y35">IFERROR(INDEX('selected-lohe'!$B$1:$B$359,MATCH(1,(J35='selected-lohe'!$G$1:$G$357)*($K$3='selected-lohe'!$F$1:$F$357)*($A$1='selected-lohe'!$A$1:$A$357),0)),"")</f>
        <v/>
      </c>
      <c r="Z35" s="225" t="str">
        <f t="array" ref="Z35">IFERROR(INDEX('selected-lohe'!$B$1:$B$359,MATCH(1,(J35='selected-lohe'!$G$1:$G$357)*($K$3='selected-lohe'!$F$1:$F$357)*($C$1='selected-lohe'!$A$1:$A$357),0)),"")</f>
        <v/>
      </c>
      <c r="AA35" s="237" t="s">
        <v>179</v>
      </c>
      <c r="AB35" s="237" t="s">
        <v>56</v>
      </c>
      <c r="AC35" s="237" t="s">
        <v>53</v>
      </c>
      <c r="AD35" s="237" t="s">
        <v>163</v>
      </c>
      <c r="AE35" s="237" t="s">
        <v>159</v>
      </c>
      <c r="AF35" s="237" t="s">
        <v>160</v>
      </c>
      <c r="AG35" s="233"/>
      <c r="AH35" s="182"/>
      <c r="AJ35" s="182"/>
      <c r="AK35" s="182"/>
      <c r="AL35" s="182"/>
      <c r="AM35" s="182"/>
    </row>
    <row r="36" spans="1:39" ht="15.95" customHeight="1" x14ac:dyDescent="0.25">
      <c r="A36" s="237"/>
      <c r="B36" s="174" t="str">
        <f t="array" ref="B36">IFERROR(INDEX('selected-lohe'!$D$1:$D$359,MATCH(1,(A36='selected-lohe'!$G$1:$G$357)*($B$3='selected-lohe'!$F$1:$F$357)*($A$1='selected-lohe'!$A$1:$A$357),0))&amp;" "&amp;INDEX('selected-lohe'!$C$1:$C$359,MATCH(1,(A36='selected-lohe'!$G$1:$G$357)*($B$3='selected-lohe'!$F$1:$F$357)*($A$1='selected-lohe'!$A$1:$A$357),0)),"")</f>
        <v/>
      </c>
      <c r="C36" s="120" t="str">
        <f t="array" ref="C36">IFERROR(INDEX('selected-lohe'!$D$1:$D$359,MATCH(1,(A36='selected-lohe'!$G$1:$G$357)*($B$3='selected-lohe'!$F$1:$F$357)*($J$1='selected-lohe'!$A$1:$A$357),0))&amp;" "&amp;INDEX('selected-lohe'!$C$1:$C$359,MATCH(1,(A36='selected-lohe'!$G$1:$G$357)*($B$3='selected-lohe'!$F$1:$F$357)*($J$1='selected-lohe'!$A$1:$A$357),0)),"")</f>
        <v/>
      </c>
      <c r="D36" s="132"/>
      <c r="E36" s="175" t="str">
        <f t="array" ref="E36">IFERROR(INDEX('selected-lohe'!$D$1:$D$359,MATCH(1,(A36='selected-lohe'!$G$1:$G$357)*($B$3='selected-lohe'!$F$1:$F$357)*($C$1='selected-lohe'!$A$1:$A$357),0))&amp;" "&amp;INDEX('selected-lohe'!$C$1:$C$359,MATCH(1,(A36='selected-lohe'!$G$1:$G$357)*($B$3='selected-lohe'!$F$1:$F$357)*($C$1='selected-lohe'!$A$1:$A$357),0)),"")</f>
        <v/>
      </c>
      <c r="F36" s="132"/>
      <c r="G36" s="132"/>
      <c r="H36" s="133"/>
      <c r="I36" s="33"/>
      <c r="J36" s="237"/>
      <c r="K36" s="174" t="str">
        <f t="array" ref="K36">IFERROR(INDEX('selected-lohe'!$D$1:$D$359,MATCH(1,(J36='selected-lohe'!$G$1:$G$357)*($K$3='selected-lohe'!$F$1:$F$357)*($A$1='selected-lohe'!$A$1:$A$357),0))&amp;" "&amp;INDEX('selected-lohe'!$C$1:$C$359,MATCH(1,(J36='selected-lohe'!$G$1:$G$357)*($K$3='selected-lohe'!$F$1:$F$357)*($A$1='selected-lohe'!$A$1:$A$357),0)),"")</f>
        <v/>
      </c>
      <c r="L36" s="120" t="str">
        <f t="array" ref="L36">IFERROR(INDEX('selected-lohe'!$D$1:$D$359,MATCH(1,(J36='selected-lohe'!$G$1:$G$357)*($K$3='selected-lohe'!$F$1:$F$357)*($J$1='selected-lohe'!$A$1:$A$357),0))&amp;" "&amp;INDEX('selected-lohe'!$C$1:$C$359,MATCH(1,(J36='selected-lohe'!$G$1:$G$357)*($K$3='selected-lohe'!$F$1:$F$357)*($J$1='selected-lohe'!$A$1:$A$357),0)),"")</f>
        <v/>
      </c>
      <c r="M36" s="132"/>
      <c r="N36" s="175" t="str">
        <f t="array" ref="N36">IFERROR(INDEX('selected-lohe'!$D$1:$D$359,MATCH(1,(J36='selected-lohe'!$G$1:$G$357)*($K$3='selected-lohe'!$F$1:$F$357)*($C$1='selected-lohe'!$A$1:$A$357),0))&amp;" "&amp;INDEX('selected-lohe'!$C$1:$C$359,MATCH(1,(J36='selected-lohe'!$G$1:$G$357)*($K$3='selected-lohe'!$F$1:$F$357)*($C$1='selected-lohe'!$A$1:$A$357),0)),"")</f>
        <v/>
      </c>
      <c r="O36" s="132"/>
      <c r="P36" s="132"/>
      <c r="Q36" s="133"/>
      <c r="R36" s="94"/>
      <c r="S36" s="94"/>
      <c r="W36" s="225" t="str">
        <f t="array" ref="W36">IFERROR(INDEX('selected-lohe'!$B$1:$B$359,MATCH(1,(A36='selected-lohe'!$G$1:$G$357)*($B$3='selected-lohe'!$F$1:$F$357)*($A$1='selected-lohe'!$A$1:$A$357),0)),"")</f>
        <v/>
      </c>
      <c r="X36" s="225" t="str">
        <f t="array" ref="X36">IFERROR(INDEX('selected-lohe'!$B$1:$B$359,MATCH(1,(A36='selected-lohe'!$G$1:$G$357)*($B$3='selected-lohe'!$F$1:$F$357)*($C$1='selected-lohe'!$A$1:$A$357),0)),"")</f>
        <v/>
      </c>
      <c r="Y36" s="225" t="str">
        <f t="array" ref="Y36">IFERROR(INDEX('selected-lohe'!$B$1:$B$359,MATCH(1,(J36='selected-lohe'!$G$1:$G$357)*($K$3='selected-lohe'!$F$1:$F$357)*($A$1='selected-lohe'!$A$1:$A$357),0)),"")</f>
        <v/>
      </c>
      <c r="Z36" s="225" t="str">
        <f t="array" ref="Z36">IFERROR(INDEX('selected-lohe'!$B$1:$B$359,MATCH(1,(J36='selected-lohe'!$G$1:$G$357)*($K$3='selected-lohe'!$F$1:$F$357)*($C$1='selected-lohe'!$A$1:$A$357),0)),"")</f>
        <v/>
      </c>
      <c r="AA36" s="237"/>
      <c r="AB36" s="237"/>
      <c r="AC36" s="237"/>
      <c r="AD36" s="237"/>
      <c r="AE36" s="237" t="s">
        <v>162</v>
      </c>
      <c r="AF36" s="237" t="s">
        <v>162</v>
      </c>
      <c r="AG36" s="233"/>
      <c r="AI36" s="182"/>
      <c r="AJ36" s="182"/>
      <c r="AL36" s="182"/>
      <c r="AM36" s="182"/>
    </row>
    <row r="37" spans="1:39" ht="15.95" customHeight="1" x14ac:dyDescent="0.25">
      <c r="A37" s="237" t="s">
        <v>165</v>
      </c>
      <c r="B37" s="119" t="str">
        <f t="array" ref="B37">IFERROR(INDEX('selected-lohe'!$D$1:$D$359,MATCH(1,(A37='selected-lohe'!$G$1:$G$357)*($B$3='selected-lohe'!$F$1:$F$357)*($A$1='selected-lohe'!$A$1:$A$357),0))&amp;" "&amp;INDEX('selected-lohe'!$C$1:$C$359,MATCH(1,(A37='selected-lohe'!$G$1:$G$357)*($B$3='selected-lohe'!$F$1:$F$357)*($A$1='selected-lohe'!$A$1:$A$357),0)),"")</f>
        <v/>
      </c>
      <c r="C37" s="120" t="str">
        <f t="array" ref="C37">IFERROR(INDEX('selected-lohe'!$D$1:$D$359,MATCH(1,(A37='selected-lohe'!$G$1:$G$357)*($B$3='selected-lohe'!$F$1:$F$357)*($J$1='selected-lohe'!$A$1:$A$357),0))&amp;" "&amp;INDEX('selected-lohe'!$C$1:$C$359,MATCH(1,(A37='selected-lohe'!$G$1:$G$357)*($B$3='selected-lohe'!$F$1:$F$357)*($J$1='selected-lohe'!$A$1:$A$357),0)),"")</f>
        <v/>
      </c>
      <c r="D37" s="132"/>
      <c r="E37" s="121" t="str">
        <f t="array" ref="E37">IFERROR(INDEX('selected-lohe'!$D$1:$D$359,MATCH(1,(A37='selected-lohe'!$G$1:$G$357)*($B$3='selected-lohe'!$F$1:$F$357)*($C$1='selected-lohe'!$A$1:$A$357),0))&amp;" "&amp;INDEX('selected-lohe'!$C$1:$C$359,MATCH(1,(A37='selected-lohe'!$G$1:$G$357)*($B$3='selected-lohe'!$F$1:$F$357)*($C$1='selected-lohe'!$A$1:$A$357),0)),"")</f>
        <v/>
      </c>
      <c r="F37" s="132"/>
      <c r="G37" s="132"/>
      <c r="H37" s="133"/>
      <c r="I37" s="33"/>
      <c r="J37" s="237"/>
      <c r="K37" s="119" t="str">
        <f t="array" ref="K37">IFERROR(INDEX('selected-lohe'!$D$1:$D$359,MATCH(1,(J37='selected-lohe'!$G$1:$G$357)*($K$3='selected-lohe'!$F$1:$F$357)*($A$1='selected-lohe'!$A$1:$A$357),0))&amp;" "&amp;INDEX('selected-lohe'!$C$1:$C$359,MATCH(1,(J37='selected-lohe'!$G$1:$G$357)*($K$3='selected-lohe'!$F$1:$F$357)*($A$1='selected-lohe'!$A$1:$A$357),0)),"")</f>
        <v/>
      </c>
      <c r="L37" s="120" t="str">
        <f t="array" ref="L37">IFERROR(INDEX('selected-lohe'!$D$1:$D$359,MATCH(1,(J37='selected-lohe'!$G$1:$G$357)*($K$3='selected-lohe'!$F$1:$F$357)*($J$1='selected-lohe'!$A$1:$A$357),0))&amp;" "&amp;INDEX('selected-lohe'!$C$1:$C$359,MATCH(1,(J37='selected-lohe'!$G$1:$G$357)*($K$3='selected-lohe'!$F$1:$F$357)*($J$1='selected-lohe'!$A$1:$A$357),0)),"")</f>
        <v/>
      </c>
      <c r="M37" s="132"/>
      <c r="N37" s="121" t="str">
        <f t="array" ref="N37">IFERROR(INDEX('selected-lohe'!$D$1:$D$359,MATCH(1,(J37='selected-lohe'!$G$1:$G$357)*($K$3='selected-lohe'!$F$1:$F$357)*($C$1='selected-lohe'!$A$1:$A$357),0))&amp;" "&amp;INDEX('selected-lohe'!$C$1:$C$359,MATCH(1,(J37='selected-lohe'!$G$1:$G$357)*($K$3='selected-lohe'!$F$1:$F$357)*($C$1='selected-lohe'!$A$1:$A$357),0)),"")</f>
        <v/>
      </c>
      <c r="O37" s="132"/>
      <c r="P37" s="132"/>
      <c r="Q37" s="133"/>
      <c r="R37" s="94"/>
      <c r="S37" s="94"/>
      <c r="W37" s="225" t="str">
        <f t="array" ref="W37">IFERROR(INDEX('selected-lohe'!$B$1:$B$359,MATCH(1,(A37='selected-lohe'!$G$1:$G$357)*($B$3='selected-lohe'!$F$1:$F$357)*($A$1='selected-lohe'!$A$1:$A$357),0)),"")</f>
        <v/>
      </c>
      <c r="X37" s="225" t="str">
        <f t="array" ref="X37">IFERROR(INDEX('selected-lohe'!$B$1:$B$359,MATCH(1,(A37='selected-lohe'!$G$1:$G$357)*($B$3='selected-lohe'!$F$1:$F$357)*($C$1='selected-lohe'!$A$1:$A$357),0)),"")</f>
        <v/>
      </c>
      <c r="Y37" s="225" t="str">
        <f t="array" ref="Y37">IFERROR(INDEX('selected-lohe'!$B$1:$B$359,MATCH(1,(J37='selected-lohe'!$G$1:$G$357)*($K$3='selected-lohe'!$F$1:$F$357)*($A$1='selected-lohe'!$A$1:$A$357),0)),"")</f>
        <v/>
      </c>
      <c r="Z37" s="225" t="str">
        <f t="array" ref="Z37">IFERROR(INDEX('selected-lohe'!$B$1:$B$359,MATCH(1,(J37='selected-lohe'!$G$1:$G$357)*($K$3='selected-lohe'!$F$1:$F$357)*($C$1='selected-lohe'!$A$1:$A$357),0)),"")</f>
        <v/>
      </c>
      <c r="AA37" s="237"/>
      <c r="AB37" s="237"/>
      <c r="AC37" s="237" t="s">
        <v>165</v>
      </c>
      <c r="AD37" s="237"/>
      <c r="AE37" s="237" t="s">
        <v>165</v>
      </c>
      <c r="AF37" s="237" t="s">
        <v>165</v>
      </c>
      <c r="AG37" s="234"/>
      <c r="AJ37" s="182"/>
      <c r="AL37" s="182"/>
      <c r="AM37" s="182"/>
    </row>
    <row r="38" spans="1:39" ht="15.95" customHeight="1" x14ac:dyDescent="0.25">
      <c r="A38" s="237" t="s">
        <v>57</v>
      </c>
      <c r="B38" s="119" t="str">
        <f t="array" ref="B38">IFERROR(INDEX('selected-lohe'!$D$1:$D$359,MATCH(1,(A38='selected-lohe'!$G$1:$G$357)*($B$3='selected-lohe'!$F$1:$F$357)*($A$1='selected-lohe'!$A$1:$A$357),0))&amp;" "&amp;INDEX('selected-lohe'!$C$1:$C$359,MATCH(1,(A38='selected-lohe'!$G$1:$G$357)*($B$3='selected-lohe'!$F$1:$F$357)*($A$1='selected-lohe'!$A$1:$A$357),0)),"")</f>
        <v/>
      </c>
      <c r="C38" s="120" t="str">
        <f t="array" ref="C38">IFERROR(INDEX('selected-lohe'!$D$1:$D$359,MATCH(1,(A38='selected-lohe'!$G$1:$G$357)*($B$3='selected-lohe'!$F$1:$F$357)*($J$1='selected-lohe'!$A$1:$A$357),0))&amp;" "&amp;INDEX('selected-lohe'!$C$1:$C$359,MATCH(1,(A38='selected-lohe'!$G$1:$G$357)*($B$3='selected-lohe'!$F$1:$F$357)*($J$1='selected-lohe'!$A$1:$A$357),0)),"")</f>
        <v/>
      </c>
      <c r="D38" s="121"/>
      <c r="E38" s="121" t="str">
        <f t="array" ref="E38">IFERROR(INDEX('selected-lohe'!$D$1:$D$359,MATCH(1,(A38='selected-lohe'!$G$1:$G$357)*($B$3='selected-lohe'!$F$1:$F$357)*($C$1='selected-lohe'!$A$1:$A$357),0))&amp;" "&amp;INDEX('selected-lohe'!$C$1:$C$359,MATCH(1,(A38='selected-lohe'!$G$1:$G$357)*($B$3='selected-lohe'!$F$1:$F$357)*($C$1='selected-lohe'!$A$1:$A$357),0)),"")</f>
        <v/>
      </c>
      <c r="F38" s="122"/>
      <c r="G38" s="123"/>
      <c r="H38" s="124"/>
      <c r="I38" s="125"/>
      <c r="J38" s="237" t="s">
        <v>717</v>
      </c>
      <c r="K38" s="119" t="str">
        <f t="array" ref="K38">IFERROR(INDEX('selected-lohe'!$D$1:$D$359,MATCH(1,(J38='selected-lohe'!$G$1:$G$357)*($K$3='selected-lohe'!$F$1:$F$357)*($A$1='selected-lohe'!$A$1:$A$357),0))&amp;" "&amp;INDEX('selected-lohe'!$C$1:$C$359,MATCH(1,(J38='selected-lohe'!$G$1:$G$357)*($K$3='selected-lohe'!$F$1:$F$357)*($A$1='selected-lohe'!$A$1:$A$357),0)),"")</f>
        <v/>
      </c>
      <c r="L38" s="120" t="str">
        <f t="array" ref="L38">IFERROR(INDEX('selected-lohe'!$D$1:$D$359,MATCH(1,(J38='selected-lohe'!$G$1:$G$357)*($K$3='selected-lohe'!$F$1:$F$357)*($J$1='selected-lohe'!$A$1:$A$357),0))&amp;" "&amp;INDEX('selected-lohe'!$C$1:$C$359,MATCH(1,(J38='selected-lohe'!$G$1:$G$357)*($K$3='selected-lohe'!$F$1:$F$357)*($J$1='selected-lohe'!$A$1:$A$357),0)),"")</f>
        <v/>
      </c>
      <c r="M38" s="122"/>
      <c r="N38" s="121" t="str">
        <f t="array" ref="N38">IFERROR(INDEX('selected-lohe'!$D$1:$D$359,MATCH(1,(J38='selected-lohe'!$G$1:$G$357)*($K$3='selected-lohe'!$F$1:$F$357)*($C$1='selected-lohe'!$A$1:$A$357),0))&amp;" "&amp;INDEX('selected-lohe'!$C$1:$C$359,MATCH(1,(J38='selected-lohe'!$G$1:$G$357)*($K$3='selected-lohe'!$F$1:$F$357)*($C$1='selected-lohe'!$A$1:$A$357),0)),"")</f>
        <v/>
      </c>
      <c r="O38" s="122"/>
      <c r="P38" s="123"/>
      <c r="Q38" s="124"/>
      <c r="R38" s="94"/>
      <c r="S38" s="94"/>
      <c r="W38" s="225" t="str">
        <f t="array" ref="W38">IFERROR(INDEX('selected-lohe'!$B$1:$B$359,MATCH(1,(A38='selected-lohe'!$G$1:$G$357)*($B$3='selected-lohe'!$F$1:$F$357)*($A$1='selected-lohe'!$A$1:$A$357),0)),"")</f>
        <v/>
      </c>
      <c r="X38" s="225" t="str">
        <f t="array" ref="X38">IFERROR(INDEX('selected-lohe'!$B$1:$B$359,MATCH(1,(A38='selected-lohe'!$G$1:$G$357)*($B$3='selected-lohe'!$F$1:$F$357)*($C$1='selected-lohe'!$A$1:$A$357),0)),"")</f>
        <v/>
      </c>
      <c r="Y38" s="225" t="str">
        <f t="array" ref="Y38">IFERROR(INDEX('selected-lohe'!$B$1:$B$359,MATCH(1,(J38='selected-lohe'!$G$1:$G$357)*($K$3='selected-lohe'!$F$1:$F$357)*($A$1='selected-lohe'!$A$1:$A$357),0)),"")</f>
        <v/>
      </c>
      <c r="Z38" s="225" t="str">
        <f t="array" ref="Z38">IFERROR(INDEX('selected-lohe'!$B$1:$B$359,MATCH(1,(J38='selected-lohe'!$G$1:$G$357)*($K$3='selected-lohe'!$F$1:$F$357)*($C$1='selected-lohe'!$A$1:$A$357),0)),"")</f>
        <v/>
      </c>
      <c r="AA38" s="237" t="s">
        <v>165</v>
      </c>
      <c r="AB38" s="237" t="s">
        <v>57</v>
      </c>
      <c r="AC38" s="237" t="s">
        <v>57</v>
      </c>
      <c r="AD38" s="237" t="s">
        <v>717</v>
      </c>
      <c r="AE38" s="237" t="s">
        <v>166</v>
      </c>
      <c r="AF38" s="237" t="s">
        <v>166</v>
      </c>
      <c r="AG38" s="234"/>
      <c r="AH38" s="182"/>
      <c r="AI38" s="182"/>
      <c r="AJ38" s="182"/>
      <c r="AK38" s="182"/>
      <c r="AL38" s="182"/>
      <c r="AM38" s="182"/>
    </row>
    <row r="39" spans="1:39" ht="15.95" customHeight="1" x14ac:dyDescent="0.25">
      <c r="A39" s="237" t="s">
        <v>166</v>
      </c>
      <c r="B39" s="119" t="str">
        <f t="array" ref="B39">IFERROR(INDEX('selected-lohe'!$D$1:$D$359,MATCH(1,(A39='selected-lohe'!$G$1:$G$357)*($B$3='selected-lohe'!$F$1:$F$357)*($A$1='selected-lohe'!$A$1:$A$357),0))&amp;" "&amp;INDEX('selected-lohe'!$C$1:$C$359,MATCH(1,(A39='selected-lohe'!$G$1:$G$357)*($B$3='selected-lohe'!$F$1:$F$357)*($A$1='selected-lohe'!$A$1:$A$357),0)),"")</f>
        <v/>
      </c>
      <c r="C39" s="120" t="str">
        <f t="array" ref="C39">IFERROR(INDEX('selected-lohe'!$D$1:$D$359,MATCH(1,(A39='selected-lohe'!$G$1:$G$357)*($B$3='selected-lohe'!$F$1:$F$357)*($J$1='selected-lohe'!$A$1:$A$357),0))&amp;" "&amp;INDEX('selected-lohe'!$C$1:$C$359,MATCH(1,(A39='selected-lohe'!$G$1:$G$357)*($B$3='selected-lohe'!$F$1:$F$357)*($J$1='selected-lohe'!$A$1:$A$357),0)),"")</f>
        <v/>
      </c>
      <c r="D39" s="121"/>
      <c r="E39" s="121" t="str">
        <f t="array" ref="E39">IFERROR(INDEX('selected-lohe'!$D$1:$D$359,MATCH(1,(A39='selected-lohe'!$G$1:$G$357)*($B$3='selected-lohe'!$F$1:$F$357)*($C$1='selected-lohe'!$A$1:$A$357),0))&amp;" "&amp;INDEX('selected-lohe'!$C$1:$C$359,MATCH(1,(A39='selected-lohe'!$G$1:$G$357)*($B$3='selected-lohe'!$F$1:$F$357)*($C$1='selected-lohe'!$A$1:$A$357),0)),"")</f>
        <v/>
      </c>
      <c r="F39" s="122"/>
      <c r="G39" s="123"/>
      <c r="H39" s="125"/>
      <c r="I39" s="134"/>
      <c r="J39" s="237" t="s">
        <v>1375</v>
      </c>
      <c r="K39" s="119" t="str">
        <f t="array" ref="K39">IFERROR(INDEX('selected-lohe'!$D$1:$D$359,MATCH(1,(J39='selected-lohe'!$G$1:$G$357)*($K$3='selected-lohe'!$F$1:$F$357)*($A$1='selected-lohe'!$A$1:$A$357),0))&amp;" "&amp;INDEX('selected-lohe'!$C$1:$C$359,MATCH(1,(J39='selected-lohe'!$G$1:$G$357)*($K$3='selected-lohe'!$F$1:$F$357)*($A$1='selected-lohe'!$A$1:$A$357),0)),"")</f>
        <v/>
      </c>
      <c r="L39" s="120" t="str">
        <f t="array" ref="L39">IFERROR(INDEX('selected-lohe'!$D$1:$D$359,MATCH(1,(J39='selected-lohe'!$G$1:$G$357)*($K$3='selected-lohe'!$F$1:$F$357)*($J$1='selected-lohe'!$A$1:$A$357),0))&amp;" "&amp;INDEX('selected-lohe'!$C$1:$C$359,MATCH(1,(J39='selected-lohe'!$G$1:$G$357)*($K$3='selected-lohe'!$F$1:$F$357)*($J$1='selected-lohe'!$A$1:$A$357),0)),"")</f>
        <v/>
      </c>
      <c r="M39" s="122"/>
      <c r="N39" s="121" t="str">
        <f t="array" ref="N39">IFERROR(INDEX('selected-lohe'!$D$1:$D$359,MATCH(1,(J39='selected-lohe'!$G$1:$G$357)*($K$3='selected-lohe'!$F$1:$F$357)*($C$1='selected-lohe'!$A$1:$A$357),0))&amp;" "&amp;INDEX('selected-lohe'!$C$1:$C$359,MATCH(1,(J39='selected-lohe'!$G$1:$G$357)*($K$3='selected-lohe'!$F$1:$F$357)*($C$1='selected-lohe'!$A$1:$A$357),0)),"")</f>
        <v/>
      </c>
      <c r="O39" s="135"/>
      <c r="P39" s="136"/>
      <c r="Q39" s="137"/>
      <c r="R39" s="94"/>
      <c r="S39" s="94"/>
      <c r="W39" s="225" t="str">
        <f t="array" ref="W39">IFERROR(INDEX('selected-lohe'!$B$1:$B$359,MATCH(1,(A39='selected-lohe'!$G$1:$G$357)*($B$3='selected-lohe'!$F$1:$F$357)*($A$1='selected-lohe'!$A$1:$A$357),0)),"")</f>
        <v/>
      </c>
      <c r="X39" s="225" t="str">
        <f t="array" ref="X39">IFERROR(INDEX('selected-lohe'!$B$1:$B$359,MATCH(1,(A39='selected-lohe'!$G$1:$G$357)*($B$3='selected-lohe'!$F$1:$F$357)*($C$1='selected-lohe'!$A$1:$A$357),0)),"")</f>
        <v/>
      </c>
      <c r="Y39" s="225" t="str">
        <f t="array" ref="Y39">IFERROR(INDEX('selected-lohe'!$B$1:$B$359,MATCH(1,(J39='selected-lohe'!$G$1:$G$357)*($K$3='selected-lohe'!$F$1:$F$357)*($A$1='selected-lohe'!$A$1:$A$357),0)),"")</f>
        <v/>
      </c>
      <c r="Z39" s="225" t="str">
        <f t="array" ref="Z39">IFERROR(INDEX('selected-lohe'!$B$1:$B$359,MATCH(1,(J39='selected-lohe'!$G$1:$G$357)*($K$3='selected-lohe'!$F$1:$F$357)*($C$1='selected-lohe'!$A$1:$A$357),0)),"")</f>
        <v/>
      </c>
      <c r="AA39" s="237" t="s">
        <v>57</v>
      </c>
      <c r="AB39" s="237" t="s">
        <v>1375</v>
      </c>
      <c r="AC39" s="237" t="s">
        <v>166</v>
      </c>
      <c r="AD39" s="237" t="s">
        <v>1375</v>
      </c>
      <c r="AE39" s="237" t="s">
        <v>167</v>
      </c>
      <c r="AF39" s="237" t="s">
        <v>167</v>
      </c>
      <c r="AG39" s="234"/>
      <c r="AH39" s="182"/>
      <c r="AI39" s="182"/>
      <c r="AJ39" s="182"/>
      <c r="AK39" s="182"/>
      <c r="AL39" s="182"/>
      <c r="AM39" s="182"/>
    </row>
    <row r="40" spans="1:39" ht="15.95" customHeight="1" x14ac:dyDescent="0.25">
      <c r="A40" s="237"/>
      <c r="B40" s="119" t="str">
        <f t="array" ref="B40">IFERROR(INDEX('selected-lohe'!$D$1:$D$359,MATCH(1,(A40='selected-lohe'!$G$1:$G$357)*($B$3='selected-lohe'!$F$1:$F$357)*($A$1='selected-lohe'!$A$1:$A$357),0))&amp;" "&amp;INDEX('selected-lohe'!$C$1:$C$359,MATCH(1,(A40='selected-lohe'!$G$1:$G$357)*($B$3='selected-lohe'!$F$1:$F$357)*($A$1='selected-lohe'!$A$1:$A$357),0)),"")</f>
        <v/>
      </c>
      <c r="C40" s="120" t="str">
        <f t="array" ref="C40">IFERROR(INDEX('selected-lohe'!$D$1:$D$359,MATCH(1,(A40='selected-lohe'!$G$1:$G$357)*($B$3='selected-lohe'!$F$1:$F$357)*($J$1='selected-lohe'!$A$1:$A$357),0))&amp;" "&amp;INDEX('selected-lohe'!$C$1:$C$359,MATCH(1,(A40='selected-lohe'!$G$1:$G$357)*($B$3='selected-lohe'!$F$1:$F$357)*($J$1='selected-lohe'!$A$1:$A$357),0)),"")</f>
        <v/>
      </c>
      <c r="D40" s="122"/>
      <c r="E40" s="121" t="str">
        <f t="array" ref="E40">IFERROR(INDEX('selected-lohe'!$D$1:$D$359,MATCH(1,(A40='selected-lohe'!$G$1:$G$357)*($B$3='selected-lohe'!$F$1:$F$357)*($C$1='selected-lohe'!$A$1:$A$357),0))&amp;" "&amp;INDEX('selected-lohe'!$C$1:$C$359,MATCH(1,(A40='selected-lohe'!$G$1:$G$357)*($B$3='selected-lohe'!$F$1:$F$357)*($C$1='selected-lohe'!$A$1:$A$357),0)),"")</f>
        <v/>
      </c>
      <c r="F40" s="122"/>
      <c r="G40" s="123"/>
      <c r="H40" s="125"/>
      <c r="I40" s="134"/>
      <c r="J40" s="237" t="s">
        <v>718</v>
      </c>
      <c r="K40" s="119" t="str">
        <f t="array" ref="K40">IFERROR(INDEX('selected-lohe'!$D$1:$D$359,MATCH(1,(J40='selected-lohe'!$G$1:$G$357)*($K$3='selected-lohe'!$F$1:$F$357)*($A$1='selected-lohe'!$A$1:$A$357),0))&amp;" "&amp;INDEX('selected-lohe'!$C$1:$C$359,MATCH(1,(J40='selected-lohe'!$G$1:$G$357)*($K$3='selected-lohe'!$F$1:$F$357)*($A$1='selected-lohe'!$A$1:$A$357),0)),"")</f>
        <v/>
      </c>
      <c r="L40" s="120" t="str">
        <f t="array" ref="L40">IFERROR(INDEX('selected-lohe'!$D$1:$D$359,MATCH(1,(J40='selected-lohe'!$G$1:$G$357)*($K$3='selected-lohe'!$F$1:$F$357)*($J$1='selected-lohe'!$A$1:$A$357),0))&amp;" "&amp;INDEX('selected-lohe'!$C$1:$C$359,MATCH(1,(J40='selected-lohe'!$G$1:$G$357)*($K$3='selected-lohe'!$F$1:$F$357)*($J$1='selected-lohe'!$A$1:$A$357),0)),"")</f>
        <v/>
      </c>
      <c r="M40" s="122"/>
      <c r="N40" s="121" t="str">
        <f t="array" ref="N40">IFERROR(INDEX('selected-lohe'!$D$1:$D$359,MATCH(1,(J40='selected-lohe'!$G$1:$G$357)*($K$3='selected-lohe'!$F$1:$F$357)*($C$1='selected-lohe'!$A$1:$A$357),0))&amp;" "&amp;INDEX('selected-lohe'!$C$1:$C$359,MATCH(1,(J40='selected-lohe'!$G$1:$G$357)*($K$3='selected-lohe'!$F$1:$F$357)*($C$1='selected-lohe'!$A$1:$A$357),0)),"")</f>
        <v/>
      </c>
      <c r="O40" s="122"/>
      <c r="P40" s="123"/>
      <c r="Q40" s="124"/>
      <c r="R40" s="94"/>
      <c r="S40" s="94"/>
      <c r="W40" s="225" t="str">
        <f t="array" ref="W40">IFERROR(INDEX('selected-lohe'!$B$1:$B$359,MATCH(1,(A40='selected-lohe'!$G$1:$G$357)*($B$3='selected-lohe'!$F$1:$F$357)*($A$1='selected-lohe'!$A$1:$A$357),0)),"")</f>
        <v/>
      </c>
      <c r="X40" s="225" t="str">
        <f t="array" ref="X40">IFERROR(INDEX('selected-lohe'!$B$1:$B$359,MATCH(1,(A40='selected-lohe'!$G$1:$G$357)*($B$3='selected-lohe'!$F$1:$F$357)*($C$1='selected-lohe'!$A$1:$A$357),0)),"")</f>
        <v/>
      </c>
      <c r="Y40" s="225" t="str">
        <f t="array" ref="Y40">IFERROR(INDEX('selected-lohe'!$B$1:$B$359,MATCH(1,(J40='selected-lohe'!$G$1:$G$357)*($K$3='selected-lohe'!$F$1:$F$357)*($A$1='selected-lohe'!$A$1:$A$357),0)),"")</f>
        <v/>
      </c>
      <c r="Z40" s="225" t="str">
        <f t="array" ref="Z40">IFERROR(INDEX('selected-lohe'!$B$1:$B$359,MATCH(1,(J40='selected-lohe'!$G$1:$G$357)*($K$3='selected-lohe'!$F$1:$F$357)*($C$1='selected-lohe'!$A$1:$A$357),0)),"")</f>
        <v/>
      </c>
      <c r="AA40" s="237" t="s">
        <v>166</v>
      </c>
      <c r="AB40" s="237" t="s">
        <v>718</v>
      </c>
      <c r="AC40" s="237"/>
      <c r="AD40" s="237" t="s">
        <v>718</v>
      </c>
      <c r="AE40" s="237" t="s">
        <v>194</v>
      </c>
      <c r="AF40" s="237" t="s">
        <v>194</v>
      </c>
      <c r="AG40" s="234"/>
      <c r="AH40" s="182"/>
      <c r="AI40" s="182"/>
      <c r="AK40" s="182"/>
      <c r="AL40" s="182"/>
      <c r="AM40" s="182"/>
    </row>
    <row r="41" spans="1:39" ht="15.95" customHeight="1" thickBot="1" x14ac:dyDescent="0.3">
      <c r="A41" s="237" t="s">
        <v>169</v>
      </c>
      <c r="B41" s="119" t="str">
        <f t="array" ref="B41">IFERROR(INDEX('selected-lohe'!$D$1:$D$359,MATCH(1,(A41='selected-lohe'!$G$1:$G$357)*($B$3='selected-lohe'!$F$1:$F$357)*($A$1='selected-lohe'!$A$1:$A$357),0))&amp;" "&amp;INDEX('selected-lohe'!$C$1:$C$359,MATCH(1,(A41='selected-lohe'!$G$1:$G$357)*($B$3='selected-lohe'!$F$1:$F$357)*($A$1='selected-lohe'!$A$1:$A$357),0)),"")</f>
        <v/>
      </c>
      <c r="C41" s="120" t="str">
        <f t="array" ref="C41">IFERROR(INDEX('selected-lohe'!$D$1:$D$359,MATCH(1,(A41='selected-lohe'!$G$1:$G$357)*($B$3='selected-lohe'!$F$1:$F$357)*($J$1='selected-lohe'!$A$1:$A$357),0))&amp;" "&amp;INDEX('selected-lohe'!$C$1:$C$359,MATCH(1,(A41='selected-lohe'!$G$1:$G$357)*($B$3='selected-lohe'!$F$1:$F$357)*($J$1='selected-lohe'!$A$1:$A$357),0)),"")</f>
        <v/>
      </c>
      <c r="D41" s="138"/>
      <c r="E41" s="121" t="str">
        <f t="array" ref="E41">IFERROR(INDEX('selected-lohe'!$D$1:$D$359,MATCH(1,(A41='selected-lohe'!$G$1:$G$357)*($B$3='selected-lohe'!$F$1:$F$357)*($C$1='selected-lohe'!$A$1:$A$357),0))&amp;" "&amp;INDEX('selected-lohe'!$C$1:$C$359,MATCH(1,(A41='selected-lohe'!$G$1:$G$357)*($B$3='selected-lohe'!$F$1:$F$357)*($C$1='selected-lohe'!$A$1:$A$357),0)),"")</f>
        <v/>
      </c>
      <c r="F41" s="138"/>
      <c r="G41" s="139"/>
      <c r="H41" s="140"/>
      <c r="I41" s="141"/>
      <c r="J41" s="237" t="s">
        <v>169</v>
      </c>
      <c r="K41" s="119" t="str">
        <f t="array" ref="K41">IFERROR(INDEX('selected-lohe'!$D$1:$D$359,MATCH(1,(J41='selected-lohe'!$G$1:$G$357)*($K$3='selected-lohe'!$F$1:$F$357)*($A$1='selected-lohe'!$A$1:$A$357),0))&amp;" "&amp;INDEX('selected-lohe'!$C$1:$C$359,MATCH(1,(J41='selected-lohe'!$G$1:$G$357)*($K$3='selected-lohe'!$F$1:$F$357)*($A$1='selected-lohe'!$A$1:$A$357),0)),"")</f>
        <v/>
      </c>
      <c r="L41" s="120" t="str">
        <f t="array" ref="L41">IFERROR(INDEX('selected-lohe'!$D$1:$D$359,MATCH(1,(J41='selected-lohe'!$G$1:$G$357)*($K$3='selected-lohe'!$F$1:$F$357)*($J$1='selected-lohe'!$A$1:$A$357),0))&amp;" "&amp;INDEX('selected-lohe'!$C$1:$C$359,MATCH(1,(J41='selected-lohe'!$G$1:$G$357)*($K$3='selected-lohe'!$F$1:$F$357)*($J$1='selected-lohe'!$A$1:$A$357),0)),"")</f>
        <v/>
      </c>
      <c r="M41" s="138"/>
      <c r="N41" s="121" t="str">
        <f t="array" ref="N41">IFERROR(INDEX('selected-lohe'!$D$1:$D$359,MATCH(1,(J41='selected-lohe'!$G$1:$G$357)*($K$3='selected-lohe'!$F$1:$F$357)*($C$1='selected-lohe'!$A$1:$A$357),0))&amp;" "&amp;INDEX('selected-lohe'!$C$1:$C$359,MATCH(1,(J41='selected-lohe'!$G$1:$G$357)*($K$3='selected-lohe'!$F$1:$F$357)*($C$1='selected-lohe'!$A$1:$A$357),0)),"")</f>
        <v/>
      </c>
      <c r="O41" s="138"/>
      <c r="P41" s="139"/>
      <c r="Q41" s="142"/>
      <c r="R41" s="94"/>
      <c r="S41" s="94"/>
      <c r="W41" s="225" t="str">
        <f t="array" ref="W41">IFERROR(INDEX('selected-lohe'!$B$1:$B$359,MATCH(1,(A41='selected-lohe'!$G$1:$G$357)*($B$3='selected-lohe'!$F$1:$F$357)*($A$1='selected-lohe'!$A$1:$A$357),0)),"")</f>
        <v/>
      </c>
      <c r="X41" s="225" t="str">
        <f t="array" ref="X41">IFERROR(INDEX('selected-lohe'!$B$1:$B$359,MATCH(1,(A41='selected-lohe'!$G$1:$G$357)*($B$3='selected-lohe'!$F$1:$F$357)*($C$1='selected-lohe'!$A$1:$A$357),0)),"")</f>
        <v/>
      </c>
      <c r="Y41" s="225" t="str">
        <f t="array" ref="Y41">IFERROR(INDEX('selected-lohe'!$B$1:$B$359,MATCH(1,(J41='selected-lohe'!$G$1:$G$357)*($K$3='selected-lohe'!$F$1:$F$357)*($A$1='selected-lohe'!$A$1:$A$357),0)),"")</f>
        <v/>
      </c>
      <c r="Z41" s="225" t="str">
        <f t="array" ref="Z41">IFERROR(INDEX('selected-lohe'!$B$1:$B$359,MATCH(1,(J41='selected-lohe'!$G$1:$G$357)*($K$3='selected-lohe'!$F$1:$F$357)*($C$1='selected-lohe'!$A$1:$A$357),0)),"")</f>
        <v/>
      </c>
      <c r="AA41" s="237" t="s">
        <v>169</v>
      </c>
      <c r="AB41" s="237" t="s">
        <v>169</v>
      </c>
      <c r="AC41" s="237" t="s">
        <v>169</v>
      </c>
      <c r="AD41" s="237" t="s">
        <v>169</v>
      </c>
      <c r="AE41" s="237" t="s">
        <v>169</v>
      </c>
      <c r="AF41" s="237" t="s">
        <v>169</v>
      </c>
      <c r="AG41" s="234"/>
      <c r="AH41" s="182"/>
      <c r="AI41" s="182"/>
      <c r="AJ41" s="182"/>
      <c r="AK41" s="182"/>
      <c r="AL41" s="182"/>
      <c r="AM41" s="182"/>
    </row>
    <row r="42" spans="1:39" ht="15.95" customHeight="1" x14ac:dyDescent="0.25">
      <c r="A42" s="244" t="str">
        <f xml:space="preserve"> " شيفت " &amp;"("&amp;B2&amp; ") صبحكار***كسري شيفت!!!"</f>
        <v xml:space="preserve"> شيفت () صبحكار***كسري شيفت!!!</v>
      </c>
      <c r="B42" s="143" t="s">
        <v>246</v>
      </c>
      <c r="C42" s="244" t="str">
        <f xml:space="preserve"> " شيفت " &amp;"("&amp;E2&amp; ") عصركار***كسري شيفت!!!"</f>
        <v xml:space="preserve"> شيفت () عصركار***كسري شيفت!!!</v>
      </c>
      <c r="D42" s="144"/>
      <c r="E42" s="143" t="s">
        <v>246</v>
      </c>
      <c r="F42" s="145"/>
      <c r="G42" s="254" t="str">
        <f xml:space="preserve"> " شيفت " &amp;"("&amp;K2&amp; ") صبحكار***كسري شيفت!!!"</f>
        <v xml:space="preserve"> شيفت () صبحكار***كسري شيفت!!!</v>
      </c>
      <c r="H42" s="255"/>
      <c r="I42" s="255"/>
      <c r="J42" s="256"/>
      <c r="K42" s="143" t="s">
        <v>246</v>
      </c>
      <c r="L42" s="244" t="str">
        <f xml:space="preserve"> " شيفت " &amp;"("&amp;N2&amp; ") عصركار***كسري شيفت!!!"</f>
        <v xml:space="preserve"> شيفت () عصركار***كسري شيفت!!!</v>
      </c>
      <c r="M42" s="146"/>
      <c r="N42" s="143" t="s">
        <v>246</v>
      </c>
      <c r="O42" s="145"/>
      <c r="P42" s="145"/>
      <c r="Q42" s="147"/>
      <c r="R42" s="94"/>
      <c r="S42" s="94"/>
    </row>
    <row r="43" spans="1:39" ht="15.95" customHeight="1" x14ac:dyDescent="0.25">
      <c r="A43" s="245"/>
      <c r="B43" s="92"/>
      <c r="C43" s="245"/>
      <c r="D43" s="148"/>
      <c r="E43" s="92"/>
      <c r="F43" s="149"/>
      <c r="G43" s="257"/>
      <c r="H43" s="258"/>
      <c r="I43" s="258"/>
      <c r="J43" s="259"/>
      <c r="K43" s="90"/>
      <c r="L43" s="245"/>
      <c r="M43" s="150"/>
      <c r="N43" s="90"/>
      <c r="O43" s="151"/>
      <c r="P43" s="151"/>
      <c r="Q43" s="152"/>
      <c r="R43" s="94"/>
      <c r="S43" s="94"/>
    </row>
    <row r="44" spans="1:39" ht="15.95" customHeight="1" x14ac:dyDescent="0.25">
      <c r="A44" s="245"/>
      <c r="B44" s="92"/>
      <c r="C44" s="245"/>
      <c r="D44" s="148"/>
      <c r="E44" s="92"/>
      <c r="F44" s="153"/>
      <c r="G44" s="257"/>
      <c r="H44" s="258"/>
      <c r="I44" s="258"/>
      <c r="J44" s="259"/>
      <c r="K44" s="90"/>
      <c r="L44" s="245"/>
      <c r="M44" s="150"/>
      <c r="N44" s="90"/>
      <c r="O44" s="151"/>
      <c r="P44" s="151"/>
      <c r="Q44" s="152"/>
      <c r="R44" s="94"/>
      <c r="S44" s="94"/>
    </row>
    <row r="45" spans="1:39" ht="15.95" customHeight="1" x14ac:dyDescent="0.25">
      <c r="A45" s="245"/>
      <c r="B45" s="92"/>
      <c r="C45" s="245"/>
      <c r="D45" s="148"/>
      <c r="E45" s="92"/>
      <c r="F45" s="153"/>
      <c r="G45" s="257"/>
      <c r="H45" s="258"/>
      <c r="I45" s="258"/>
      <c r="J45" s="259"/>
      <c r="K45" s="90"/>
      <c r="L45" s="245"/>
      <c r="M45" s="150"/>
      <c r="N45" s="90"/>
      <c r="O45" s="154"/>
      <c r="P45" s="154"/>
      <c r="Q45" s="155"/>
      <c r="R45" s="94"/>
      <c r="S45" s="94"/>
    </row>
    <row r="46" spans="1:39" ht="15.95" customHeight="1" x14ac:dyDescent="0.25">
      <c r="A46" s="245"/>
      <c r="B46" s="92"/>
      <c r="C46" s="245"/>
      <c r="D46" s="148"/>
      <c r="E46" s="92"/>
      <c r="F46" s="153"/>
      <c r="G46" s="257"/>
      <c r="H46" s="258"/>
      <c r="I46" s="258"/>
      <c r="J46" s="259"/>
      <c r="K46" s="90"/>
      <c r="L46" s="245"/>
      <c r="M46" s="150"/>
      <c r="N46" s="90"/>
      <c r="O46" s="149"/>
      <c r="P46" s="149"/>
      <c r="Q46" s="156"/>
      <c r="R46" s="94"/>
      <c r="S46" s="94"/>
    </row>
    <row r="47" spans="1:39" ht="15.95" customHeight="1" x14ac:dyDescent="0.25">
      <c r="A47" s="245"/>
      <c r="B47" s="92"/>
      <c r="C47" s="245"/>
      <c r="D47" s="148"/>
      <c r="E47" s="92"/>
      <c r="F47" s="153"/>
      <c r="G47" s="257"/>
      <c r="H47" s="258"/>
      <c r="I47" s="258"/>
      <c r="J47" s="259"/>
      <c r="K47" s="90"/>
      <c r="L47" s="245"/>
      <c r="M47" s="150"/>
      <c r="N47" s="90"/>
      <c r="O47" s="149"/>
      <c r="P47" s="149"/>
      <c r="Q47" s="156"/>
      <c r="R47" s="94"/>
      <c r="S47" s="94"/>
    </row>
    <row r="48" spans="1:39" ht="15.95" customHeight="1" x14ac:dyDescent="0.25">
      <c r="A48" s="245"/>
      <c r="B48" s="92"/>
      <c r="C48" s="245"/>
      <c r="D48" s="148"/>
      <c r="E48" s="92"/>
      <c r="F48" s="149"/>
      <c r="G48" s="257"/>
      <c r="H48" s="258"/>
      <c r="I48" s="258"/>
      <c r="J48" s="259"/>
      <c r="K48" s="90"/>
      <c r="L48" s="245"/>
      <c r="M48" s="150"/>
      <c r="N48" s="90"/>
      <c r="O48" s="149"/>
      <c r="P48" s="149"/>
      <c r="Q48" s="156"/>
      <c r="R48" s="94"/>
      <c r="S48" s="94"/>
    </row>
    <row r="49" spans="1:19" ht="15.95" customHeight="1" x14ac:dyDescent="0.25">
      <c r="A49" s="245"/>
      <c r="B49" s="92"/>
      <c r="C49" s="245"/>
      <c r="D49" s="148"/>
      <c r="E49" s="92"/>
      <c r="F49" s="157"/>
      <c r="G49" s="257"/>
      <c r="H49" s="258"/>
      <c r="I49" s="258"/>
      <c r="J49" s="259"/>
      <c r="K49" s="90"/>
      <c r="L49" s="245"/>
      <c r="M49" s="157"/>
      <c r="N49" s="90"/>
      <c r="O49" s="157"/>
      <c r="P49" s="157"/>
      <c r="Q49" s="158"/>
      <c r="R49" s="94"/>
      <c r="S49" s="94"/>
    </row>
    <row r="50" spans="1:19" ht="15.95" customHeight="1" x14ac:dyDescent="0.25">
      <c r="A50" s="245"/>
      <c r="B50" s="92"/>
      <c r="C50" s="245"/>
      <c r="D50" s="148"/>
      <c r="E50" s="92"/>
      <c r="F50" s="157"/>
      <c r="G50" s="257"/>
      <c r="H50" s="258"/>
      <c r="I50" s="258"/>
      <c r="J50" s="259"/>
      <c r="K50" s="90"/>
      <c r="L50" s="245"/>
      <c r="M50" s="157"/>
      <c r="N50" s="90"/>
      <c r="O50" s="157"/>
      <c r="P50" s="157"/>
      <c r="Q50" s="158"/>
      <c r="R50" s="94"/>
      <c r="S50" s="94"/>
    </row>
    <row r="51" spans="1:19" ht="15.95" customHeight="1" x14ac:dyDescent="0.25">
      <c r="A51" s="245"/>
      <c r="B51" s="92"/>
      <c r="C51" s="245"/>
      <c r="D51" s="148"/>
      <c r="E51" s="92"/>
      <c r="F51" s="157"/>
      <c r="G51" s="257"/>
      <c r="H51" s="258"/>
      <c r="I51" s="258"/>
      <c r="J51" s="259"/>
      <c r="K51" s="90"/>
      <c r="L51" s="245"/>
      <c r="M51" s="157"/>
      <c r="N51" s="90"/>
      <c r="O51" s="157"/>
      <c r="P51" s="157"/>
      <c r="Q51" s="158"/>
    </row>
    <row r="52" spans="1:19" ht="15.95" customHeight="1" x14ac:dyDescent="0.25">
      <c r="A52" s="245"/>
      <c r="B52" s="92"/>
      <c r="C52" s="245"/>
      <c r="D52" s="148"/>
      <c r="E52" s="92"/>
      <c r="F52" s="157"/>
      <c r="G52" s="257"/>
      <c r="H52" s="258"/>
      <c r="I52" s="258"/>
      <c r="J52" s="259"/>
      <c r="K52" s="90"/>
      <c r="L52" s="245"/>
      <c r="M52" s="157"/>
      <c r="N52" s="90"/>
      <c r="O52" s="157"/>
      <c r="P52" s="157"/>
      <c r="Q52" s="158"/>
    </row>
    <row r="53" spans="1:19" ht="15.95" customHeight="1" x14ac:dyDescent="0.25">
      <c r="A53" s="245"/>
      <c r="B53" s="92"/>
      <c r="C53" s="245"/>
      <c r="D53" s="148"/>
      <c r="E53" s="92"/>
      <c r="F53" s="157"/>
      <c r="G53" s="257"/>
      <c r="H53" s="258"/>
      <c r="I53" s="258"/>
      <c r="J53" s="259"/>
      <c r="K53" s="90"/>
      <c r="L53" s="245"/>
      <c r="M53" s="157"/>
      <c r="N53" s="90"/>
      <c r="O53" s="157"/>
      <c r="P53" s="157"/>
      <c r="Q53" s="158"/>
    </row>
    <row r="54" spans="1:19" ht="15.95" customHeight="1" x14ac:dyDescent="0.25">
      <c r="A54" s="245"/>
      <c r="B54" s="92"/>
      <c r="C54" s="245"/>
      <c r="D54" s="148"/>
      <c r="E54" s="92"/>
      <c r="G54" s="257"/>
      <c r="H54" s="258"/>
      <c r="I54" s="258"/>
      <c r="J54" s="259"/>
      <c r="K54" s="90"/>
      <c r="L54" s="245"/>
      <c r="N54" s="90"/>
      <c r="Q54" s="159"/>
    </row>
    <row r="55" spans="1:19" ht="15.95" customHeight="1" x14ac:dyDescent="0.25">
      <c r="A55" s="245"/>
      <c r="B55" s="92"/>
      <c r="C55" s="245"/>
      <c r="D55" s="148"/>
      <c r="E55" s="92"/>
      <c r="G55" s="257"/>
      <c r="H55" s="258"/>
      <c r="I55" s="258"/>
      <c r="J55" s="259"/>
      <c r="K55" s="90"/>
      <c r="L55" s="245"/>
      <c r="N55" s="90"/>
      <c r="Q55" s="159"/>
    </row>
    <row r="56" spans="1:19" ht="15.95" customHeight="1" thickBot="1" x14ac:dyDescent="0.3">
      <c r="A56" s="246"/>
      <c r="B56" s="92"/>
      <c r="C56" s="246"/>
      <c r="D56" s="160"/>
      <c r="E56" s="92"/>
      <c r="F56" s="161"/>
      <c r="G56" s="260"/>
      <c r="H56" s="261"/>
      <c r="I56" s="261"/>
      <c r="J56" s="262"/>
      <c r="K56" s="90"/>
      <c r="L56" s="246"/>
      <c r="M56" s="161"/>
      <c r="N56" s="90"/>
      <c r="O56" s="161"/>
      <c r="P56" s="161"/>
      <c r="Q56" s="162"/>
    </row>
    <row r="57" spans="1:19" x14ac:dyDescent="0.25">
      <c r="B57" s="92"/>
      <c r="E57" s="92"/>
      <c r="K57" s="90"/>
      <c r="N57" s="90"/>
    </row>
    <row r="58" spans="1:19" x14ac:dyDescent="0.25">
      <c r="B58" s="92"/>
      <c r="E58" s="92"/>
      <c r="K58" s="90"/>
      <c r="N58" s="90"/>
    </row>
    <row r="59" spans="1:19" x14ac:dyDescent="0.25">
      <c r="B59" s="92"/>
      <c r="E59" s="92"/>
      <c r="K59" s="90"/>
      <c r="N59" s="90"/>
    </row>
    <row r="60" spans="1:19" x14ac:dyDescent="0.25">
      <c r="B60" s="92"/>
      <c r="E60" s="92"/>
      <c r="K60" s="90"/>
      <c r="N60" s="90"/>
    </row>
    <row r="61" spans="1:19" x14ac:dyDescent="0.25">
      <c r="B61" s="92"/>
      <c r="E61" s="92"/>
      <c r="K61" s="90"/>
      <c r="N61" s="90"/>
    </row>
    <row r="62" spans="1:19" x14ac:dyDescent="0.25">
      <c r="B62" s="92"/>
      <c r="E62" s="92"/>
      <c r="K62" s="90"/>
      <c r="N62" s="90"/>
    </row>
    <row r="63" spans="1:19" x14ac:dyDescent="0.25">
      <c r="B63" s="92"/>
      <c r="E63" s="92"/>
      <c r="K63" s="90"/>
      <c r="N63" s="90"/>
    </row>
    <row r="64" spans="1:19" x14ac:dyDescent="0.25">
      <c r="B64" s="92"/>
      <c r="E64" s="92"/>
      <c r="K64" s="90"/>
      <c r="N64" s="90"/>
    </row>
    <row r="65" spans="2:14" x14ac:dyDescent="0.25">
      <c r="B65" s="92"/>
      <c r="E65" s="92"/>
      <c r="K65" s="90"/>
      <c r="N65" s="90"/>
    </row>
    <row r="66" spans="2:14" x14ac:dyDescent="0.25">
      <c r="B66" s="92"/>
      <c r="E66" s="92"/>
      <c r="K66" s="90"/>
      <c r="N66" s="90"/>
    </row>
    <row r="67" spans="2:14" x14ac:dyDescent="0.25">
      <c r="B67" s="92"/>
      <c r="E67" s="92"/>
      <c r="K67" s="90"/>
      <c r="N67" s="90"/>
    </row>
    <row r="68" spans="2:14" x14ac:dyDescent="0.25">
      <c r="B68" s="92"/>
      <c r="E68" s="92"/>
      <c r="K68" s="90"/>
      <c r="N68" s="90"/>
    </row>
    <row r="69" spans="2:14" x14ac:dyDescent="0.25">
      <c r="B69" s="92"/>
      <c r="E69" s="92"/>
      <c r="K69" s="90"/>
      <c r="N69" s="90"/>
    </row>
    <row r="70" spans="2:14" x14ac:dyDescent="0.25">
      <c r="B70" s="92"/>
      <c r="E70" s="92"/>
      <c r="K70" s="90"/>
      <c r="N70" s="90"/>
    </row>
    <row r="71" spans="2:14" x14ac:dyDescent="0.25">
      <c r="B71" s="92"/>
      <c r="E71" s="92"/>
      <c r="K71" s="90"/>
      <c r="N71" s="90"/>
    </row>
    <row r="72" spans="2:14" x14ac:dyDescent="0.25">
      <c r="B72" s="92"/>
      <c r="E72" s="92"/>
      <c r="K72" s="90"/>
      <c r="N72" s="90"/>
    </row>
    <row r="73" spans="2:14" x14ac:dyDescent="0.25">
      <c r="B73" s="92"/>
      <c r="E73" s="92"/>
      <c r="K73" s="90"/>
      <c r="N73" s="90"/>
    </row>
    <row r="74" spans="2:14" x14ac:dyDescent="0.25">
      <c r="B74" s="92"/>
      <c r="E74" s="92"/>
      <c r="K74" s="90"/>
      <c r="N74" s="90"/>
    </row>
    <row r="75" spans="2:14" x14ac:dyDescent="0.25">
      <c r="B75" s="92"/>
      <c r="E75" s="92"/>
      <c r="K75" s="90"/>
      <c r="N75" s="90"/>
    </row>
    <row r="76" spans="2:14" x14ac:dyDescent="0.25">
      <c r="B76" s="92"/>
      <c r="E76" s="92"/>
      <c r="K76" s="90"/>
      <c r="N76" s="90"/>
    </row>
    <row r="77" spans="2:14" x14ac:dyDescent="0.25">
      <c r="B77" s="92"/>
      <c r="E77" s="92"/>
      <c r="K77" s="90"/>
      <c r="N77" s="90"/>
    </row>
    <row r="78" spans="2:14" x14ac:dyDescent="0.25">
      <c r="B78" s="92"/>
      <c r="E78" s="92"/>
      <c r="K78" s="90"/>
      <c r="N78" s="90"/>
    </row>
    <row r="79" spans="2:14" x14ac:dyDescent="0.25">
      <c r="B79" s="92"/>
      <c r="E79" s="92"/>
      <c r="K79" s="90"/>
      <c r="N79" s="90"/>
    </row>
    <row r="80" spans="2:14" x14ac:dyDescent="0.25">
      <c r="B80" s="92"/>
      <c r="E80" s="92"/>
    </row>
    <row r="81" spans="2:5" x14ac:dyDescent="0.25">
      <c r="B81" s="92"/>
      <c r="E81" s="92"/>
    </row>
    <row r="82" spans="2:5" x14ac:dyDescent="0.25">
      <c r="B82" s="92"/>
      <c r="E82" s="92"/>
    </row>
    <row r="83" spans="2:5" x14ac:dyDescent="0.25">
      <c r="B83" s="92"/>
      <c r="E83" s="92"/>
    </row>
    <row r="84" spans="2:5" x14ac:dyDescent="0.25">
      <c r="B84" s="92"/>
      <c r="E84" s="92"/>
    </row>
    <row r="85" spans="2:5" x14ac:dyDescent="0.25">
      <c r="B85" s="92"/>
      <c r="E85" s="92"/>
    </row>
    <row r="86" spans="2:5" x14ac:dyDescent="0.25">
      <c r="B86" s="92"/>
      <c r="E86" s="92"/>
    </row>
    <row r="87" spans="2:5" x14ac:dyDescent="0.25">
      <c r="B87" s="92"/>
      <c r="E87" s="92"/>
    </row>
    <row r="88" spans="2:5" x14ac:dyDescent="0.25">
      <c r="B88" s="92"/>
      <c r="E88" s="92"/>
    </row>
    <row r="89" spans="2:5" x14ac:dyDescent="0.25">
      <c r="B89" s="92"/>
      <c r="E89" s="92"/>
    </row>
    <row r="90" spans="2:5" x14ac:dyDescent="0.25">
      <c r="B90" s="92"/>
      <c r="E90" s="92"/>
    </row>
    <row r="91" spans="2:5" x14ac:dyDescent="0.25">
      <c r="B91" s="92"/>
      <c r="E91" s="92"/>
    </row>
    <row r="92" spans="2:5" x14ac:dyDescent="0.25">
      <c r="B92" s="92"/>
      <c r="E92" s="92"/>
    </row>
    <row r="93" spans="2:5" x14ac:dyDescent="0.25">
      <c r="B93" s="92"/>
      <c r="E93" s="92"/>
    </row>
    <row r="94" spans="2:5" x14ac:dyDescent="0.25">
      <c r="B94" s="92"/>
      <c r="E94" s="92"/>
    </row>
    <row r="95" spans="2:5" x14ac:dyDescent="0.25">
      <c r="B95" s="92"/>
      <c r="E95" s="92"/>
    </row>
    <row r="96" spans="2:5" x14ac:dyDescent="0.25">
      <c r="B96" s="92"/>
      <c r="E96" s="92"/>
    </row>
    <row r="97" spans="2:5" x14ac:dyDescent="0.25">
      <c r="B97" s="92"/>
      <c r="E97" s="92"/>
    </row>
    <row r="98" spans="2:5" x14ac:dyDescent="0.25">
      <c r="B98" s="92"/>
      <c r="E98" s="92"/>
    </row>
    <row r="99" spans="2:5" x14ac:dyDescent="0.25">
      <c r="B99" s="92"/>
      <c r="E99" s="92"/>
    </row>
    <row r="100" spans="2:5" x14ac:dyDescent="0.25">
      <c r="B100" s="92"/>
      <c r="E100" s="92"/>
    </row>
    <row r="101" spans="2:5" x14ac:dyDescent="0.25">
      <c r="B101" s="92"/>
      <c r="E101" s="92"/>
    </row>
    <row r="102" spans="2:5" x14ac:dyDescent="0.25">
      <c r="B102" s="92"/>
      <c r="E102" s="92"/>
    </row>
    <row r="103" spans="2:5" x14ac:dyDescent="0.25">
      <c r="B103" s="92"/>
      <c r="E103" s="92"/>
    </row>
    <row r="104" spans="2:5" x14ac:dyDescent="0.25">
      <c r="B104" s="92"/>
      <c r="E104" s="92"/>
    </row>
    <row r="105" spans="2:5" x14ac:dyDescent="0.25">
      <c r="B105" s="92"/>
      <c r="E105" s="92"/>
    </row>
    <row r="106" spans="2:5" x14ac:dyDescent="0.25">
      <c r="B106" s="92"/>
      <c r="E106" s="92"/>
    </row>
    <row r="107" spans="2:5" x14ac:dyDescent="0.25">
      <c r="B107" s="92"/>
      <c r="E107" s="92"/>
    </row>
    <row r="108" spans="2:5" x14ac:dyDescent="0.25">
      <c r="B108" s="92"/>
      <c r="E108" s="92"/>
    </row>
    <row r="109" spans="2:5" x14ac:dyDescent="0.25">
      <c r="B109" s="92"/>
      <c r="E109" s="92"/>
    </row>
    <row r="110" spans="2:5" x14ac:dyDescent="0.25">
      <c r="B110" s="92"/>
      <c r="E110" s="92"/>
    </row>
    <row r="111" spans="2:5" x14ac:dyDescent="0.25">
      <c r="B111" s="92"/>
      <c r="E111" s="92"/>
    </row>
    <row r="112" spans="2:5" x14ac:dyDescent="0.25">
      <c r="B112" s="92"/>
      <c r="E112" s="92"/>
    </row>
    <row r="113" spans="2:5" x14ac:dyDescent="0.25">
      <c r="B113" s="92"/>
      <c r="E113" s="92"/>
    </row>
    <row r="114" spans="2:5" x14ac:dyDescent="0.25">
      <c r="B114" s="92"/>
      <c r="E114" s="92"/>
    </row>
    <row r="115" spans="2:5" x14ac:dyDescent="0.25">
      <c r="B115" s="92"/>
      <c r="E115" s="92"/>
    </row>
    <row r="116" spans="2:5" x14ac:dyDescent="0.25">
      <c r="B116" s="92"/>
      <c r="E116" s="92"/>
    </row>
    <row r="117" spans="2:5" x14ac:dyDescent="0.25">
      <c r="B117" s="92"/>
      <c r="E117" s="92"/>
    </row>
    <row r="118" spans="2:5" x14ac:dyDescent="0.25">
      <c r="B118" s="92"/>
      <c r="E118" s="92"/>
    </row>
    <row r="119" spans="2:5" x14ac:dyDescent="0.25">
      <c r="B119" s="92"/>
      <c r="E119" s="92"/>
    </row>
    <row r="120" spans="2:5" x14ac:dyDescent="0.25">
      <c r="B120" s="92"/>
      <c r="E120" s="92"/>
    </row>
    <row r="121" spans="2:5" x14ac:dyDescent="0.25">
      <c r="B121" s="92"/>
      <c r="E121" s="92"/>
    </row>
    <row r="122" spans="2:5" x14ac:dyDescent="0.25">
      <c r="B122" s="90"/>
      <c r="E122" s="90"/>
    </row>
    <row r="123" spans="2:5" x14ac:dyDescent="0.25">
      <c r="B123" s="90"/>
      <c r="E123" s="90"/>
    </row>
    <row r="124" spans="2:5" x14ac:dyDescent="0.25">
      <c r="B124" s="90"/>
      <c r="E124" s="90"/>
    </row>
    <row r="125" spans="2:5" x14ac:dyDescent="0.25">
      <c r="B125" s="90"/>
      <c r="E125" s="90"/>
    </row>
    <row r="126" spans="2:5" x14ac:dyDescent="0.25">
      <c r="B126" s="90"/>
      <c r="E126" s="90"/>
    </row>
    <row r="127" spans="2:5" x14ac:dyDescent="0.25">
      <c r="B127" s="90"/>
      <c r="E127" s="90"/>
    </row>
    <row r="128" spans="2:5" x14ac:dyDescent="0.25">
      <c r="B128" s="90"/>
      <c r="E128" s="90"/>
    </row>
    <row r="129" spans="2:5" x14ac:dyDescent="0.25">
      <c r="B129" s="90"/>
      <c r="E129" s="90"/>
    </row>
    <row r="130" spans="2:5" x14ac:dyDescent="0.25">
      <c r="B130" s="90"/>
      <c r="E130" s="90"/>
    </row>
    <row r="131" spans="2:5" x14ac:dyDescent="0.25">
      <c r="B131" s="90"/>
      <c r="E131" s="90"/>
    </row>
    <row r="132" spans="2:5" x14ac:dyDescent="0.25">
      <c r="B132" s="90"/>
      <c r="E132" s="90"/>
    </row>
    <row r="133" spans="2:5" x14ac:dyDescent="0.25">
      <c r="B133" s="90"/>
      <c r="E133" s="90"/>
    </row>
    <row r="134" spans="2:5" x14ac:dyDescent="0.25">
      <c r="B134" s="90"/>
      <c r="E134" s="90"/>
    </row>
    <row r="135" spans="2:5" x14ac:dyDescent="0.25">
      <c r="B135" s="90"/>
      <c r="E135" s="90"/>
    </row>
    <row r="136" spans="2:5" x14ac:dyDescent="0.25">
      <c r="B136" s="90"/>
      <c r="E136" s="90"/>
    </row>
    <row r="137" spans="2:5" x14ac:dyDescent="0.25">
      <c r="B137" s="90"/>
      <c r="E137" s="90"/>
    </row>
    <row r="138" spans="2:5" x14ac:dyDescent="0.25">
      <c r="B138" s="90"/>
      <c r="E138" s="90"/>
    </row>
    <row r="139" spans="2:5" x14ac:dyDescent="0.25">
      <c r="B139" s="90"/>
      <c r="E139" s="90"/>
    </row>
    <row r="140" spans="2:5" x14ac:dyDescent="0.25">
      <c r="B140" s="90"/>
      <c r="E140" s="90"/>
    </row>
    <row r="141" spans="2:5" x14ac:dyDescent="0.25">
      <c r="B141" s="90"/>
      <c r="E141" s="90"/>
    </row>
    <row r="142" spans="2:5" x14ac:dyDescent="0.25">
      <c r="B142" s="90"/>
      <c r="E142" s="90"/>
    </row>
    <row r="143" spans="2:5" x14ac:dyDescent="0.25">
      <c r="B143" s="90"/>
      <c r="E143" s="90"/>
    </row>
    <row r="144" spans="2:5" x14ac:dyDescent="0.25">
      <c r="B144" s="90"/>
      <c r="E144" s="90"/>
    </row>
    <row r="145" spans="2:5" x14ac:dyDescent="0.25">
      <c r="B145" s="90"/>
      <c r="E145" s="90"/>
    </row>
    <row r="146" spans="2:5" x14ac:dyDescent="0.25">
      <c r="B146" s="90"/>
      <c r="E146" s="90"/>
    </row>
    <row r="147" spans="2:5" x14ac:dyDescent="0.25">
      <c r="B147" s="90"/>
      <c r="E147" s="90"/>
    </row>
  </sheetData>
  <mergeCells count="11">
    <mergeCell ref="AA4:AB4"/>
    <mergeCell ref="AC4:AD4"/>
    <mergeCell ref="AE4:AF4"/>
    <mergeCell ref="A42:A56"/>
    <mergeCell ref="O2:Q3"/>
    <mergeCell ref="C3:E3"/>
    <mergeCell ref="F3:J3"/>
    <mergeCell ref="L3:M3"/>
    <mergeCell ref="G42:J56"/>
    <mergeCell ref="C42:C56"/>
    <mergeCell ref="L42:L56"/>
  </mergeCells>
  <pageMargins left="0.19685039370078741" right="0.15748031496062992" top="0.19685039370078741" bottom="0.19685039370078741" header="3.937007874015748E-2" footer="0"/>
  <pageSetup paperSize="9"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S958"/>
  <sheetViews>
    <sheetView rightToLeft="1" workbookViewId="0">
      <selection activeCell="C32" sqref="C32"/>
    </sheetView>
  </sheetViews>
  <sheetFormatPr defaultRowHeight="15" x14ac:dyDescent="0.25"/>
  <cols>
    <col min="1" max="1" width="11.85546875" bestFit="1" customWidth="1"/>
    <col min="2" max="4" width="10.7109375" bestFit="1" customWidth="1"/>
    <col min="5" max="5" width="6.5703125" bestFit="1" customWidth="1"/>
    <col min="6" max="6" width="7.5703125" bestFit="1" customWidth="1"/>
    <col min="8" max="8" width="10.42578125" bestFit="1" customWidth="1"/>
    <col min="9" max="11" width="9.140625" style="82"/>
  </cols>
  <sheetData>
    <row r="1" spans="1:19" ht="24.75" thickBot="1" x14ac:dyDescent="0.3">
      <c r="A1" s="48" t="s">
        <v>247</v>
      </c>
      <c r="B1" s="49" t="s">
        <v>248</v>
      </c>
      <c r="C1" s="49" t="s">
        <v>249</v>
      </c>
      <c r="D1" s="50" t="s">
        <v>250</v>
      </c>
      <c r="E1" s="49" t="s">
        <v>251</v>
      </c>
      <c r="F1" s="49" t="s">
        <v>252</v>
      </c>
      <c r="H1" s="51" t="s">
        <v>247</v>
      </c>
      <c r="I1" s="52" t="s">
        <v>253</v>
      </c>
      <c r="J1" s="52" t="s">
        <v>254</v>
      </c>
      <c r="K1" s="52" t="s">
        <v>255</v>
      </c>
      <c r="L1" s="53" t="s">
        <v>252</v>
      </c>
      <c r="M1" s="52" t="s">
        <v>1019</v>
      </c>
      <c r="S1" s="54"/>
    </row>
    <row r="2" spans="1:19" ht="16.5" thickBot="1" x14ac:dyDescent="0.3">
      <c r="A2" s="55" t="s">
        <v>256</v>
      </c>
      <c r="B2" s="56" t="s">
        <v>257</v>
      </c>
      <c r="C2" s="56" t="s">
        <v>258</v>
      </c>
      <c r="D2" s="57" t="s">
        <v>259</v>
      </c>
      <c r="E2" s="58" t="s">
        <v>260</v>
      </c>
      <c r="F2" s="59" t="s">
        <v>261</v>
      </c>
      <c r="H2" s="60" t="s">
        <v>256</v>
      </c>
      <c r="I2" s="61" t="s">
        <v>248</v>
      </c>
      <c r="J2" s="62" t="s">
        <v>249</v>
      </c>
      <c r="K2" s="62" t="s">
        <v>250</v>
      </c>
      <c r="L2" s="63" t="s">
        <v>261</v>
      </c>
    </row>
    <row r="3" spans="1:19" ht="16.5" thickBot="1" x14ac:dyDescent="0.3">
      <c r="A3" s="55" t="s">
        <v>262</v>
      </c>
      <c r="B3" s="64" t="s">
        <v>263</v>
      </c>
      <c r="C3" s="64" t="s">
        <v>264</v>
      </c>
      <c r="D3" s="65" t="s">
        <v>265</v>
      </c>
      <c r="E3" s="58" t="s">
        <v>260</v>
      </c>
      <c r="F3" s="59" t="s">
        <v>245</v>
      </c>
      <c r="H3" s="66" t="s">
        <v>262</v>
      </c>
      <c r="I3" s="61" t="s">
        <v>250</v>
      </c>
      <c r="J3" s="62" t="s">
        <v>248</v>
      </c>
      <c r="K3" s="62" t="s">
        <v>249</v>
      </c>
      <c r="L3" s="67" t="s">
        <v>245</v>
      </c>
      <c r="M3">
        <v>1</v>
      </c>
    </row>
    <row r="4" spans="1:19" ht="16.5" thickBot="1" x14ac:dyDescent="0.3">
      <c r="A4" s="55" t="s">
        <v>266</v>
      </c>
      <c r="B4" s="56" t="s">
        <v>258</v>
      </c>
      <c r="C4" s="56" t="s">
        <v>259</v>
      </c>
      <c r="D4" s="57" t="s">
        <v>257</v>
      </c>
      <c r="E4" s="58" t="s">
        <v>260</v>
      </c>
      <c r="F4" s="59" t="s">
        <v>267</v>
      </c>
      <c r="H4" s="60" t="s">
        <v>266</v>
      </c>
      <c r="I4" s="61" t="s">
        <v>250</v>
      </c>
      <c r="J4" s="62" t="s">
        <v>248</v>
      </c>
      <c r="K4" s="62" t="s">
        <v>249</v>
      </c>
      <c r="L4" s="63" t="s">
        <v>267</v>
      </c>
      <c r="M4">
        <v>2</v>
      </c>
    </row>
    <row r="5" spans="1:19" ht="16.5" thickBot="1" x14ac:dyDescent="0.3">
      <c r="A5" s="55" t="s">
        <v>268</v>
      </c>
      <c r="B5" s="64" t="s">
        <v>264</v>
      </c>
      <c r="C5" s="64" t="s">
        <v>265</v>
      </c>
      <c r="D5" s="65" t="s">
        <v>263</v>
      </c>
      <c r="E5" s="58" t="s">
        <v>260</v>
      </c>
      <c r="F5" s="59" t="s">
        <v>269</v>
      </c>
      <c r="H5" s="66" t="s">
        <v>268</v>
      </c>
      <c r="I5" s="61" t="s">
        <v>249</v>
      </c>
      <c r="J5" s="62" t="s">
        <v>250</v>
      </c>
      <c r="K5" s="62" t="s">
        <v>248</v>
      </c>
      <c r="L5" s="67" t="s">
        <v>269</v>
      </c>
      <c r="M5">
        <v>1</v>
      </c>
    </row>
    <row r="6" spans="1:19" ht="16.5" thickBot="1" x14ac:dyDescent="0.3">
      <c r="A6" s="55" t="s">
        <v>270</v>
      </c>
      <c r="B6" s="56" t="s">
        <v>259</v>
      </c>
      <c r="C6" s="56" t="s">
        <v>257</v>
      </c>
      <c r="D6" s="57" t="s">
        <v>258</v>
      </c>
      <c r="E6" s="58" t="s">
        <v>260</v>
      </c>
      <c r="F6" s="59" t="s">
        <v>271</v>
      </c>
      <c r="H6" s="60" t="s">
        <v>270</v>
      </c>
      <c r="I6" s="61" t="s">
        <v>249</v>
      </c>
      <c r="J6" s="62" t="s">
        <v>250</v>
      </c>
      <c r="K6" s="62" t="s">
        <v>248</v>
      </c>
      <c r="L6" s="63" t="s">
        <v>271</v>
      </c>
      <c r="M6">
        <v>2</v>
      </c>
    </row>
    <row r="7" spans="1:19" ht="16.5" thickBot="1" x14ac:dyDescent="0.3">
      <c r="A7" s="55" t="s">
        <v>272</v>
      </c>
      <c r="B7" s="64" t="s">
        <v>265</v>
      </c>
      <c r="C7" s="64" t="s">
        <v>263</v>
      </c>
      <c r="D7" s="65" t="s">
        <v>264</v>
      </c>
      <c r="E7" s="58" t="s">
        <v>260</v>
      </c>
      <c r="F7" s="59" t="s">
        <v>273</v>
      </c>
      <c r="H7" s="66" t="s">
        <v>272</v>
      </c>
      <c r="I7" s="61" t="s">
        <v>248</v>
      </c>
      <c r="J7" s="62" t="s">
        <v>249</v>
      </c>
      <c r="K7" s="62" t="s">
        <v>250</v>
      </c>
      <c r="L7" s="67" t="s">
        <v>273</v>
      </c>
      <c r="M7">
        <v>1</v>
      </c>
    </row>
    <row r="8" spans="1:19" ht="16.5" thickBot="1" x14ac:dyDescent="0.3">
      <c r="A8" s="55" t="s">
        <v>274</v>
      </c>
      <c r="B8" s="56" t="s">
        <v>257</v>
      </c>
      <c r="C8" s="56" t="s">
        <v>258</v>
      </c>
      <c r="D8" s="57" t="s">
        <v>259</v>
      </c>
      <c r="E8" s="58" t="s">
        <v>260</v>
      </c>
      <c r="F8" s="59" t="s">
        <v>275</v>
      </c>
      <c r="H8" s="60" t="s">
        <v>274</v>
      </c>
      <c r="I8" s="61" t="s">
        <v>248</v>
      </c>
      <c r="J8" s="62" t="s">
        <v>249</v>
      </c>
      <c r="K8" s="62" t="s">
        <v>250</v>
      </c>
      <c r="L8" s="63" t="s">
        <v>275</v>
      </c>
      <c r="M8">
        <v>2</v>
      </c>
    </row>
    <row r="9" spans="1:19" ht="16.5" thickBot="1" x14ac:dyDescent="0.3">
      <c r="A9" s="55" t="s">
        <v>276</v>
      </c>
      <c r="B9" s="64" t="s">
        <v>263</v>
      </c>
      <c r="C9" s="64" t="s">
        <v>264</v>
      </c>
      <c r="D9" s="65" t="s">
        <v>265</v>
      </c>
      <c r="E9" s="58" t="s">
        <v>260</v>
      </c>
      <c r="F9" s="59" t="s">
        <v>261</v>
      </c>
      <c r="H9" s="66" t="s">
        <v>276</v>
      </c>
      <c r="I9" s="61" t="s">
        <v>250</v>
      </c>
      <c r="J9" s="62" t="s">
        <v>248</v>
      </c>
      <c r="K9" s="62" t="s">
        <v>249</v>
      </c>
      <c r="L9" s="67" t="s">
        <v>261</v>
      </c>
      <c r="M9">
        <v>1</v>
      </c>
    </row>
    <row r="10" spans="1:19" ht="16.5" thickBot="1" x14ac:dyDescent="0.3">
      <c r="A10" s="55" t="s">
        <v>277</v>
      </c>
      <c r="B10" s="56" t="s">
        <v>258</v>
      </c>
      <c r="C10" s="56" t="s">
        <v>259</v>
      </c>
      <c r="D10" s="57" t="s">
        <v>257</v>
      </c>
      <c r="E10" s="58" t="s">
        <v>260</v>
      </c>
      <c r="F10" s="59" t="s">
        <v>245</v>
      </c>
      <c r="H10" s="60" t="s">
        <v>277</v>
      </c>
      <c r="I10" s="61" t="s">
        <v>250</v>
      </c>
      <c r="J10" s="62" t="s">
        <v>248</v>
      </c>
      <c r="K10" s="62" t="s">
        <v>249</v>
      </c>
      <c r="L10" s="63" t="s">
        <v>245</v>
      </c>
      <c r="M10">
        <v>2</v>
      </c>
    </row>
    <row r="11" spans="1:19" ht="16.5" thickBot="1" x14ac:dyDescent="0.3">
      <c r="A11" s="55" t="s">
        <v>278</v>
      </c>
      <c r="B11" s="64" t="s">
        <v>264</v>
      </c>
      <c r="C11" s="64" t="s">
        <v>265</v>
      </c>
      <c r="D11" s="65" t="s">
        <v>263</v>
      </c>
      <c r="E11" s="58" t="s">
        <v>260</v>
      </c>
      <c r="F11" s="59" t="s">
        <v>267</v>
      </c>
      <c r="H11" s="66" t="s">
        <v>278</v>
      </c>
      <c r="I11" s="61" t="s">
        <v>249</v>
      </c>
      <c r="J11" s="62" t="s">
        <v>250</v>
      </c>
      <c r="K11" s="62" t="s">
        <v>248</v>
      </c>
      <c r="L11" s="67" t="s">
        <v>267</v>
      </c>
      <c r="M11">
        <v>1</v>
      </c>
    </row>
    <row r="12" spans="1:19" ht="16.5" thickBot="1" x14ac:dyDescent="0.3">
      <c r="A12" s="55" t="s">
        <v>279</v>
      </c>
      <c r="B12" s="56" t="s">
        <v>259</v>
      </c>
      <c r="C12" s="56" t="s">
        <v>257</v>
      </c>
      <c r="D12" s="57" t="s">
        <v>258</v>
      </c>
      <c r="E12" s="58" t="s">
        <v>260</v>
      </c>
      <c r="F12" s="59" t="s">
        <v>269</v>
      </c>
      <c r="H12" s="60" t="s">
        <v>279</v>
      </c>
      <c r="I12" s="61" t="s">
        <v>249</v>
      </c>
      <c r="J12" s="62" t="s">
        <v>250</v>
      </c>
      <c r="K12" s="62" t="s">
        <v>248</v>
      </c>
      <c r="L12" s="63" t="s">
        <v>269</v>
      </c>
      <c r="M12">
        <v>2</v>
      </c>
    </row>
    <row r="13" spans="1:19" ht="16.5" thickBot="1" x14ac:dyDescent="0.3">
      <c r="A13" s="55" t="s">
        <v>280</v>
      </c>
      <c r="B13" s="68" t="s">
        <v>265</v>
      </c>
      <c r="C13" s="68" t="s">
        <v>263</v>
      </c>
      <c r="D13" s="69" t="s">
        <v>264</v>
      </c>
      <c r="E13" s="58" t="s">
        <v>260</v>
      </c>
      <c r="F13" s="59" t="s">
        <v>271</v>
      </c>
      <c r="H13" s="66" t="s">
        <v>280</v>
      </c>
      <c r="I13" s="61" t="s">
        <v>248</v>
      </c>
      <c r="J13" s="62" t="s">
        <v>249</v>
      </c>
      <c r="K13" s="62" t="s">
        <v>250</v>
      </c>
      <c r="L13" s="67" t="s">
        <v>271</v>
      </c>
      <c r="M13">
        <v>1</v>
      </c>
    </row>
    <row r="14" spans="1:19" ht="16.5" thickBot="1" x14ac:dyDescent="0.3">
      <c r="A14" s="55" t="s">
        <v>281</v>
      </c>
      <c r="B14" s="70" t="s">
        <v>257</v>
      </c>
      <c r="C14" s="70" t="s">
        <v>258</v>
      </c>
      <c r="D14" s="71" t="s">
        <v>259</v>
      </c>
      <c r="E14" s="58" t="s">
        <v>260</v>
      </c>
      <c r="F14" s="59" t="s">
        <v>273</v>
      </c>
      <c r="H14" s="60" t="s">
        <v>281</v>
      </c>
      <c r="I14" s="61" t="s">
        <v>248</v>
      </c>
      <c r="J14" s="62" t="s">
        <v>249</v>
      </c>
      <c r="K14" s="62" t="s">
        <v>250</v>
      </c>
      <c r="L14" s="63" t="s">
        <v>273</v>
      </c>
      <c r="M14">
        <v>2</v>
      </c>
    </row>
    <row r="15" spans="1:19" ht="16.5" thickBot="1" x14ac:dyDescent="0.3">
      <c r="A15" s="55" t="s">
        <v>282</v>
      </c>
      <c r="B15" s="68" t="s">
        <v>263</v>
      </c>
      <c r="C15" s="68" t="s">
        <v>264</v>
      </c>
      <c r="D15" s="69" t="s">
        <v>265</v>
      </c>
      <c r="E15" s="58" t="s">
        <v>260</v>
      </c>
      <c r="F15" s="59" t="s">
        <v>275</v>
      </c>
      <c r="H15" s="66" t="s">
        <v>282</v>
      </c>
      <c r="I15" s="61" t="s">
        <v>250</v>
      </c>
      <c r="J15" s="62" t="s">
        <v>248</v>
      </c>
      <c r="K15" s="180" t="s">
        <v>249</v>
      </c>
      <c r="L15" s="67" t="s">
        <v>275</v>
      </c>
      <c r="M15">
        <v>1</v>
      </c>
      <c r="N15" s="94"/>
    </row>
    <row r="16" spans="1:19" ht="16.5" thickBot="1" x14ac:dyDescent="0.3">
      <c r="A16" s="55" t="s">
        <v>283</v>
      </c>
      <c r="B16" s="70" t="s">
        <v>258</v>
      </c>
      <c r="C16" s="70" t="s">
        <v>259</v>
      </c>
      <c r="D16" s="71" t="s">
        <v>257</v>
      </c>
      <c r="E16" s="58" t="s">
        <v>260</v>
      </c>
      <c r="F16" s="59" t="s">
        <v>261</v>
      </c>
      <c r="H16" s="60" t="s">
        <v>283</v>
      </c>
      <c r="I16" s="61" t="s">
        <v>250</v>
      </c>
      <c r="J16" s="62" t="s">
        <v>248</v>
      </c>
      <c r="K16" s="180" t="s">
        <v>249</v>
      </c>
      <c r="L16" s="63" t="s">
        <v>261</v>
      </c>
      <c r="M16">
        <v>2</v>
      </c>
      <c r="N16" s="94"/>
    </row>
    <row r="17" spans="1:14" ht="16.5" thickBot="1" x14ac:dyDescent="0.3">
      <c r="A17" s="55" t="s">
        <v>284</v>
      </c>
      <c r="B17" s="68" t="s">
        <v>264</v>
      </c>
      <c r="C17" s="68" t="s">
        <v>265</v>
      </c>
      <c r="D17" s="69" t="s">
        <v>263</v>
      </c>
      <c r="E17" s="58" t="s">
        <v>260</v>
      </c>
      <c r="F17" s="59" t="s">
        <v>245</v>
      </c>
      <c r="H17" s="66" t="s">
        <v>284</v>
      </c>
      <c r="I17" s="61" t="s">
        <v>249</v>
      </c>
      <c r="J17" s="62" t="s">
        <v>250</v>
      </c>
      <c r="K17" s="180" t="s">
        <v>248</v>
      </c>
      <c r="L17" s="67" t="s">
        <v>245</v>
      </c>
      <c r="M17">
        <v>1</v>
      </c>
      <c r="N17" s="94"/>
    </row>
    <row r="18" spans="1:14" ht="16.5" thickBot="1" x14ac:dyDescent="0.3">
      <c r="A18" s="55" t="s">
        <v>285</v>
      </c>
      <c r="B18" s="70" t="s">
        <v>259</v>
      </c>
      <c r="C18" s="70" t="s">
        <v>257</v>
      </c>
      <c r="D18" s="71" t="s">
        <v>258</v>
      </c>
      <c r="E18" s="58" t="s">
        <v>260</v>
      </c>
      <c r="F18" s="59" t="s">
        <v>267</v>
      </c>
      <c r="H18" s="60" t="s">
        <v>285</v>
      </c>
      <c r="I18" s="61" t="s">
        <v>249</v>
      </c>
      <c r="J18" s="62" t="s">
        <v>250</v>
      </c>
      <c r="K18" s="62" t="s">
        <v>248</v>
      </c>
      <c r="L18" s="63" t="s">
        <v>267</v>
      </c>
      <c r="M18">
        <v>1</v>
      </c>
    </row>
    <row r="19" spans="1:14" ht="16.5" thickBot="1" x14ac:dyDescent="0.3">
      <c r="A19" s="55" t="s">
        <v>286</v>
      </c>
      <c r="B19" s="68" t="s">
        <v>265</v>
      </c>
      <c r="C19" s="68" t="s">
        <v>263</v>
      </c>
      <c r="D19" s="69" t="s">
        <v>264</v>
      </c>
      <c r="E19" s="58" t="s">
        <v>260</v>
      </c>
      <c r="F19" s="59" t="s">
        <v>269</v>
      </c>
      <c r="H19" s="66" t="s">
        <v>286</v>
      </c>
      <c r="I19" s="61" t="s">
        <v>248</v>
      </c>
      <c r="J19" s="62" t="s">
        <v>249</v>
      </c>
      <c r="K19" s="62" t="s">
        <v>250</v>
      </c>
      <c r="L19" s="67" t="s">
        <v>269</v>
      </c>
      <c r="M19">
        <v>2</v>
      </c>
    </row>
    <row r="20" spans="1:14" ht="16.5" thickBot="1" x14ac:dyDescent="0.3">
      <c r="A20" s="55" t="s">
        <v>287</v>
      </c>
      <c r="B20" s="70" t="s">
        <v>257</v>
      </c>
      <c r="C20" s="70" t="s">
        <v>258</v>
      </c>
      <c r="D20" s="71" t="s">
        <v>259</v>
      </c>
      <c r="E20" s="58" t="s">
        <v>260</v>
      </c>
      <c r="F20" s="59" t="s">
        <v>271</v>
      </c>
      <c r="H20" s="60" t="s">
        <v>287</v>
      </c>
      <c r="I20" s="61" t="s">
        <v>248</v>
      </c>
      <c r="J20" s="62" t="s">
        <v>249</v>
      </c>
      <c r="K20" s="62" t="s">
        <v>250</v>
      </c>
      <c r="L20" s="63" t="s">
        <v>271</v>
      </c>
      <c r="M20">
        <v>1</v>
      </c>
    </row>
    <row r="21" spans="1:14" ht="16.5" thickBot="1" x14ac:dyDescent="0.3">
      <c r="A21" s="55" t="s">
        <v>288</v>
      </c>
      <c r="B21" s="68" t="s">
        <v>263</v>
      </c>
      <c r="C21" s="68" t="s">
        <v>264</v>
      </c>
      <c r="D21" s="69" t="s">
        <v>265</v>
      </c>
      <c r="E21" s="58" t="s">
        <v>260</v>
      </c>
      <c r="F21" s="59" t="s">
        <v>273</v>
      </c>
      <c r="H21" s="66" t="s">
        <v>288</v>
      </c>
      <c r="I21" s="61" t="s">
        <v>250</v>
      </c>
      <c r="J21" s="62" t="s">
        <v>248</v>
      </c>
      <c r="K21" s="62" t="s">
        <v>249</v>
      </c>
      <c r="L21" s="67" t="s">
        <v>273</v>
      </c>
      <c r="M21">
        <v>2</v>
      </c>
    </row>
    <row r="22" spans="1:14" ht="16.5" thickBot="1" x14ac:dyDescent="0.3">
      <c r="A22" s="55" t="s">
        <v>289</v>
      </c>
      <c r="B22" s="70" t="s">
        <v>258</v>
      </c>
      <c r="C22" s="70" t="s">
        <v>259</v>
      </c>
      <c r="D22" s="71" t="s">
        <v>257</v>
      </c>
      <c r="E22" s="58" t="s">
        <v>260</v>
      </c>
      <c r="F22" s="59" t="s">
        <v>275</v>
      </c>
      <c r="H22" s="60" t="s">
        <v>289</v>
      </c>
      <c r="I22" s="61" t="s">
        <v>250</v>
      </c>
      <c r="J22" s="62" t="s">
        <v>248</v>
      </c>
      <c r="K22" s="62" t="s">
        <v>249</v>
      </c>
      <c r="L22" s="63" t="s">
        <v>275</v>
      </c>
      <c r="M22">
        <v>1</v>
      </c>
    </row>
    <row r="23" spans="1:14" ht="16.5" thickBot="1" x14ac:dyDescent="0.3">
      <c r="A23" s="55" t="s">
        <v>290</v>
      </c>
      <c r="B23" s="68" t="s">
        <v>264</v>
      </c>
      <c r="C23" s="68" t="s">
        <v>265</v>
      </c>
      <c r="D23" s="69" t="s">
        <v>263</v>
      </c>
      <c r="E23" s="58" t="s">
        <v>260</v>
      </c>
      <c r="F23" s="59" t="s">
        <v>261</v>
      </c>
      <c r="H23" s="66" t="s">
        <v>290</v>
      </c>
      <c r="I23" s="61" t="s">
        <v>249</v>
      </c>
      <c r="J23" s="62" t="s">
        <v>250</v>
      </c>
      <c r="K23" s="62" t="s">
        <v>248</v>
      </c>
      <c r="L23" s="67" t="s">
        <v>261</v>
      </c>
      <c r="M23">
        <v>2</v>
      </c>
    </row>
    <row r="24" spans="1:14" ht="16.5" thickBot="1" x14ac:dyDescent="0.3">
      <c r="A24" s="55" t="s">
        <v>291</v>
      </c>
      <c r="B24" s="70" t="s">
        <v>259</v>
      </c>
      <c r="C24" s="70" t="s">
        <v>257</v>
      </c>
      <c r="D24" s="71" t="s">
        <v>258</v>
      </c>
      <c r="E24" s="58" t="s">
        <v>260</v>
      </c>
      <c r="F24" s="59" t="s">
        <v>245</v>
      </c>
      <c r="H24" s="60" t="s">
        <v>291</v>
      </c>
      <c r="I24" s="61" t="s">
        <v>249</v>
      </c>
      <c r="J24" s="62" t="s">
        <v>250</v>
      </c>
      <c r="K24" s="62" t="s">
        <v>248</v>
      </c>
      <c r="L24" s="63" t="s">
        <v>245</v>
      </c>
      <c r="M24">
        <v>1</v>
      </c>
    </row>
    <row r="25" spans="1:14" ht="16.5" thickBot="1" x14ac:dyDescent="0.3">
      <c r="A25" s="55" t="s">
        <v>292</v>
      </c>
      <c r="B25" s="68" t="s">
        <v>265</v>
      </c>
      <c r="C25" s="68" t="s">
        <v>263</v>
      </c>
      <c r="D25" s="69" t="s">
        <v>264</v>
      </c>
      <c r="E25" s="58" t="s">
        <v>260</v>
      </c>
      <c r="F25" s="59" t="s">
        <v>267</v>
      </c>
      <c r="H25" s="66" t="s">
        <v>292</v>
      </c>
      <c r="I25" s="61" t="s">
        <v>248</v>
      </c>
      <c r="J25" s="62" t="s">
        <v>249</v>
      </c>
      <c r="K25" s="62" t="s">
        <v>250</v>
      </c>
      <c r="L25" s="67" t="s">
        <v>267</v>
      </c>
      <c r="M25">
        <v>2</v>
      </c>
    </row>
    <row r="26" spans="1:14" ht="16.5" thickBot="1" x14ac:dyDescent="0.3">
      <c r="A26" s="55" t="s">
        <v>293</v>
      </c>
      <c r="B26" s="70" t="s">
        <v>257</v>
      </c>
      <c r="C26" s="70" t="s">
        <v>258</v>
      </c>
      <c r="D26" s="71" t="s">
        <v>259</v>
      </c>
      <c r="E26" s="58" t="s">
        <v>260</v>
      </c>
      <c r="F26" s="67" t="s">
        <v>269</v>
      </c>
      <c r="H26" s="60" t="s">
        <v>293</v>
      </c>
      <c r="I26" s="61" t="s">
        <v>248</v>
      </c>
      <c r="J26" s="62" t="s">
        <v>249</v>
      </c>
      <c r="K26" s="62" t="s">
        <v>250</v>
      </c>
      <c r="L26" s="67" t="s">
        <v>269</v>
      </c>
      <c r="M26">
        <v>1</v>
      </c>
    </row>
    <row r="27" spans="1:14" ht="16.5" thickBot="1" x14ac:dyDescent="0.3">
      <c r="A27" s="55" t="s">
        <v>294</v>
      </c>
      <c r="B27" s="68" t="s">
        <v>263</v>
      </c>
      <c r="C27" s="68" t="s">
        <v>264</v>
      </c>
      <c r="D27" s="69" t="s">
        <v>265</v>
      </c>
      <c r="E27" s="58" t="s">
        <v>260</v>
      </c>
      <c r="F27" s="59" t="s">
        <v>271</v>
      </c>
      <c r="H27" s="66" t="s">
        <v>294</v>
      </c>
      <c r="I27" s="61" t="s">
        <v>250</v>
      </c>
      <c r="J27" s="62" t="s">
        <v>248</v>
      </c>
      <c r="K27" s="62" t="s">
        <v>249</v>
      </c>
      <c r="L27" s="67" t="s">
        <v>271</v>
      </c>
      <c r="M27">
        <v>2</v>
      </c>
    </row>
    <row r="28" spans="1:14" ht="16.5" thickBot="1" x14ac:dyDescent="0.3">
      <c r="A28" s="55" t="s">
        <v>295</v>
      </c>
      <c r="B28" s="70" t="s">
        <v>258</v>
      </c>
      <c r="C28" s="70" t="s">
        <v>259</v>
      </c>
      <c r="D28" s="71" t="s">
        <v>257</v>
      </c>
      <c r="E28" s="58" t="s">
        <v>260</v>
      </c>
      <c r="F28" s="59" t="s">
        <v>273</v>
      </c>
      <c r="H28" s="60" t="s">
        <v>295</v>
      </c>
      <c r="I28" s="61" t="s">
        <v>250</v>
      </c>
      <c r="J28" s="62" t="s">
        <v>248</v>
      </c>
      <c r="K28" s="62" t="s">
        <v>249</v>
      </c>
      <c r="L28" s="63" t="s">
        <v>273</v>
      </c>
      <c r="M28">
        <v>1</v>
      </c>
    </row>
    <row r="29" spans="1:14" ht="16.5" thickBot="1" x14ac:dyDescent="0.3">
      <c r="A29" s="55" t="s">
        <v>296</v>
      </c>
      <c r="B29" s="68" t="s">
        <v>264</v>
      </c>
      <c r="C29" s="68" t="s">
        <v>265</v>
      </c>
      <c r="D29" s="69" t="s">
        <v>263</v>
      </c>
      <c r="E29" s="58" t="s">
        <v>260</v>
      </c>
      <c r="F29" s="59" t="s">
        <v>275</v>
      </c>
      <c r="H29" s="66" t="s">
        <v>296</v>
      </c>
      <c r="I29" s="61" t="s">
        <v>249</v>
      </c>
      <c r="J29" s="62" t="s">
        <v>250</v>
      </c>
      <c r="K29" s="62" t="s">
        <v>248</v>
      </c>
      <c r="L29" s="67" t="s">
        <v>275</v>
      </c>
      <c r="M29">
        <v>2</v>
      </c>
    </row>
    <row r="30" spans="1:14" ht="16.5" thickBot="1" x14ac:dyDescent="0.3">
      <c r="A30" s="55" t="s">
        <v>297</v>
      </c>
      <c r="B30" s="70" t="s">
        <v>259</v>
      </c>
      <c r="C30" s="70" t="s">
        <v>257</v>
      </c>
      <c r="D30" s="71" t="s">
        <v>258</v>
      </c>
      <c r="E30" s="58" t="s">
        <v>260</v>
      </c>
      <c r="F30" s="59" t="s">
        <v>261</v>
      </c>
      <c r="H30" s="60" t="s">
        <v>297</v>
      </c>
      <c r="I30" s="61" t="s">
        <v>249</v>
      </c>
      <c r="J30" s="62" t="s">
        <v>250</v>
      </c>
      <c r="K30" s="62" t="s">
        <v>248</v>
      </c>
      <c r="L30" s="63" t="s">
        <v>261</v>
      </c>
      <c r="M30">
        <v>1</v>
      </c>
    </row>
    <row r="31" spans="1:14" ht="16.5" thickBot="1" x14ac:dyDescent="0.3">
      <c r="A31" s="55" t="s">
        <v>298</v>
      </c>
      <c r="B31" s="68" t="s">
        <v>265</v>
      </c>
      <c r="C31" s="68" t="s">
        <v>263</v>
      </c>
      <c r="D31" s="69" t="s">
        <v>264</v>
      </c>
      <c r="E31" s="58" t="s">
        <v>260</v>
      </c>
      <c r="F31" s="59" t="s">
        <v>245</v>
      </c>
      <c r="H31" s="66" t="s">
        <v>298</v>
      </c>
      <c r="I31" s="61" t="s">
        <v>248</v>
      </c>
      <c r="J31" s="62" t="s">
        <v>249</v>
      </c>
      <c r="K31" s="62" t="s">
        <v>250</v>
      </c>
      <c r="L31" s="67" t="s">
        <v>245</v>
      </c>
      <c r="M31">
        <v>2</v>
      </c>
    </row>
    <row r="32" spans="1:14" ht="16.5" thickBot="1" x14ac:dyDescent="0.3">
      <c r="A32" s="55" t="s">
        <v>299</v>
      </c>
      <c r="B32" s="70" t="s">
        <v>257</v>
      </c>
      <c r="C32" s="70" t="s">
        <v>258</v>
      </c>
      <c r="D32" s="71" t="s">
        <v>259</v>
      </c>
      <c r="E32" s="58" t="s">
        <v>260</v>
      </c>
      <c r="F32" s="59" t="s">
        <v>267</v>
      </c>
      <c r="H32" s="60" t="s">
        <v>299</v>
      </c>
      <c r="I32" s="61" t="s">
        <v>248</v>
      </c>
      <c r="J32" s="62" t="s">
        <v>249</v>
      </c>
      <c r="K32" s="62" t="s">
        <v>250</v>
      </c>
      <c r="L32" s="63" t="s">
        <v>267</v>
      </c>
      <c r="M32">
        <v>1</v>
      </c>
    </row>
    <row r="33" spans="1:14" ht="16.5" thickBot="1" x14ac:dyDescent="0.3">
      <c r="A33" s="55" t="s">
        <v>300</v>
      </c>
      <c r="B33" s="68" t="s">
        <v>263</v>
      </c>
      <c r="C33" s="68" t="s">
        <v>264</v>
      </c>
      <c r="D33" s="69" t="s">
        <v>265</v>
      </c>
      <c r="E33" s="58" t="s">
        <v>260</v>
      </c>
      <c r="F33" s="59" t="s">
        <v>269</v>
      </c>
      <c r="H33" s="66" t="s">
        <v>300</v>
      </c>
      <c r="I33" s="61" t="s">
        <v>250</v>
      </c>
      <c r="J33" s="62" t="s">
        <v>248</v>
      </c>
      <c r="K33" s="62" t="s">
        <v>249</v>
      </c>
      <c r="L33" s="67" t="s">
        <v>269</v>
      </c>
      <c r="M33">
        <v>1</v>
      </c>
    </row>
    <row r="34" spans="1:14" ht="16.5" thickBot="1" x14ac:dyDescent="0.3">
      <c r="A34" s="55" t="s">
        <v>301</v>
      </c>
      <c r="B34" s="70" t="s">
        <v>258</v>
      </c>
      <c r="C34" s="70" t="s">
        <v>259</v>
      </c>
      <c r="D34" s="71" t="s">
        <v>257</v>
      </c>
      <c r="E34" s="58" t="s">
        <v>260</v>
      </c>
      <c r="F34" s="59" t="s">
        <v>271</v>
      </c>
      <c r="H34" s="60" t="s">
        <v>301</v>
      </c>
      <c r="I34" s="61" t="s">
        <v>250</v>
      </c>
      <c r="J34" s="62" t="s">
        <v>248</v>
      </c>
      <c r="K34" s="62" t="s">
        <v>249</v>
      </c>
      <c r="L34" s="63" t="s">
        <v>271</v>
      </c>
      <c r="M34">
        <v>2</v>
      </c>
    </row>
    <row r="35" spans="1:14" ht="16.5" thickBot="1" x14ac:dyDescent="0.3">
      <c r="A35" s="55" t="s">
        <v>302</v>
      </c>
      <c r="B35" s="68" t="s">
        <v>264</v>
      </c>
      <c r="C35" s="68" t="s">
        <v>265</v>
      </c>
      <c r="D35" s="69" t="s">
        <v>263</v>
      </c>
      <c r="E35" s="58" t="s">
        <v>260</v>
      </c>
      <c r="F35" s="59" t="s">
        <v>273</v>
      </c>
      <c r="H35" s="66" t="s">
        <v>302</v>
      </c>
      <c r="I35" s="61" t="s">
        <v>249</v>
      </c>
      <c r="J35" s="62" t="s">
        <v>250</v>
      </c>
      <c r="K35" s="62" t="s">
        <v>248</v>
      </c>
      <c r="L35" s="67" t="s">
        <v>273</v>
      </c>
      <c r="M35">
        <v>1</v>
      </c>
    </row>
    <row r="36" spans="1:14" ht="16.5" thickBot="1" x14ac:dyDescent="0.3">
      <c r="A36" s="55" t="s">
        <v>303</v>
      </c>
      <c r="B36" s="178" t="s">
        <v>259</v>
      </c>
      <c r="C36" s="70" t="s">
        <v>257</v>
      </c>
      <c r="D36" s="71" t="s">
        <v>258</v>
      </c>
      <c r="E36" s="179" t="s">
        <v>260</v>
      </c>
      <c r="F36" s="59" t="s">
        <v>275</v>
      </c>
      <c r="H36" s="60" t="s">
        <v>303</v>
      </c>
      <c r="I36" s="61" t="s">
        <v>249</v>
      </c>
      <c r="J36" s="62" t="s">
        <v>250</v>
      </c>
      <c r="K36" s="180" t="s">
        <v>248</v>
      </c>
      <c r="L36" s="63" t="s">
        <v>275</v>
      </c>
      <c r="M36">
        <v>2</v>
      </c>
      <c r="N36" s="94"/>
    </row>
    <row r="37" spans="1:14" ht="16.5" thickBot="1" x14ac:dyDescent="0.3">
      <c r="A37" s="55" t="s">
        <v>304</v>
      </c>
      <c r="B37" s="68" t="s">
        <v>265</v>
      </c>
      <c r="C37" s="68" t="s">
        <v>263</v>
      </c>
      <c r="D37" s="69" t="s">
        <v>264</v>
      </c>
      <c r="E37" s="58" t="s">
        <v>260</v>
      </c>
      <c r="F37" s="59" t="s">
        <v>261</v>
      </c>
      <c r="H37" s="66" t="s">
        <v>304</v>
      </c>
      <c r="I37" s="61" t="s">
        <v>248</v>
      </c>
      <c r="J37" s="62" t="s">
        <v>249</v>
      </c>
      <c r="K37" s="62" t="s">
        <v>250</v>
      </c>
      <c r="L37" s="67" t="s">
        <v>261</v>
      </c>
      <c r="M37">
        <v>1</v>
      </c>
    </row>
    <row r="38" spans="1:14" ht="16.5" thickBot="1" x14ac:dyDescent="0.3">
      <c r="A38" s="55" t="s">
        <v>305</v>
      </c>
      <c r="B38" s="70" t="s">
        <v>257</v>
      </c>
      <c r="C38" s="70" t="s">
        <v>258</v>
      </c>
      <c r="D38" s="71" t="s">
        <v>259</v>
      </c>
      <c r="E38" s="58" t="s">
        <v>260</v>
      </c>
      <c r="F38" s="59" t="s">
        <v>245</v>
      </c>
      <c r="H38" s="60" t="s">
        <v>305</v>
      </c>
      <c r="I38" s="61" t="s">
        <v>248</v>
      </c>
      <c r="J38" s="62" t="s">
        <v>249</v>
      </c>
      <c r="K38" s="62" t="s">
        <v>250</v>
      </c>
      <c r="L38" s="63" t="s">
        <v>245</v>
      </c>
      <c r="M38">
        <v>2</v>
      </c>
    </row>
    <row r="39" spans="1:14" ht="16.5" thickBot="1" x14ac:dyDescent="0.3">
      <c r="A39" s="55" t="s">
        <v>306</v>
      </c>
      <c r="B39" s="68" t="s">
        <v>263</v>
      </c>
      <c r="C39" s="68" t="s">
        <v>264</v>
      </c>
      <c r="D39" s="69" t="s">
        <v>265</v>
      </c>
      <c r="E39" s="58" t="s">
        <v>260</v>
      </c>
      <c r="F39" s="59" t="s">
        <v>267</v>
      </c>
      <c r="H39" s="66" t="s">
        <v>306</v>
      </c>
      <c r="I39" s="61" t="s">
        <v>250</v>
      </c>
      <c r="J39" s="62" t="s">
        <v>248</v>
      </c>
      <c r="K39" s="62" t="s">
        <v>249</v>
      </c>
      <c r="L39" s="67" t="s">
        <v>267</v>
      </c>
      <c r="M39">
        <v>1</v>
      </c>
    </row>
    <row r="40" spans="1:14" ht="16.5" thickBot="1" x14ac:dyDescent="0.3">
      <c r="A40" s="55" t="s">
        <v>307</v>
      </c>
      <c r="B40" s="70" t="s">
        <v>258</v>
      </c>
      <c r="C40" s="70" t="s">
        <v>259</v>
      </c>
      <c r="D40" s="71" t="s">
        <v>257</v>
      </c>
      <c r="E40" s="58" t="s">
        <v>260</v>
      </c>
      <c r="F40" s="59" t="s">
        <v>269</v>
      </c>
      <c r="H40" s="60" t="s">
        <v>307</v>
      </c>
      <c r="I40" s="61" t="s">
        <v>250</v>
      </c>
      <c r="J40" s="62" t="s">
        <v>248</v>
      </c>
      <c r="K40" s="62" t="s">
        <v>249</v>
      </c>
      <c r="L40" s="63" t="s">
        <v>269</v>
      </c>
      <c r="M40">
        <v>2</v>
      </c>
    </row>
    <row r="41" spans="1:14" ht="16.5" thickBot="1" x14ac:dyDescent="0.3">
      <c r="A41" s="55" t="s">
        <v>308</v>
      </c>
      <c r="B41" s="72" t="s">
        <v>264</v>
      </c>
      <c r="C41" s="72" t="s">
        <v>265</v>
      </c>
      <c r="D41" s="73" t="s">
        <v>263</v>
      </c>
      <c r="E41" s="58" t="s">
        <v>260</v>
      </c>
      <c r="F41" s="59" t="s">
        <v>271</v>
      </c>
      <c r="H41" s="66" t="s">
        <v>308</v>
      </c>
      <c r="I41" s="61" t="s">
        <v>249</v>
      </c>
      <c r="J41" s="62" t="s">
        <v>250</v>
      </c>
      <c r="K41" s="62" t="s">
        <v>248</v>
      </c>
      <c r="L41" s="67" t="s">
        <v>271</v>
      </c>
      <c r="M41">
        <v>1</v>
      </c>
    </row>
    <row r="42" spans="1:14" ht="16.5" thickBot="1" x14ac:dyDescent="0.3">
      <c r="A42" s="55" t="s">
        <v>309</v>
      </c>
      <c r="B42" s="74" t="s">
        <v>259</v>
      </c>
      <c r="C42" s="74" t="s">
        <v>257</v>
      </c>
      <c r="D42" s="75" t="s">
        <v>258</v>
      </c>
      <c r="E42" s="58" t="s">
        <v>260</v>
      </c>
      <c r="F42" s="59" t="s">
        <v>273</v>
      </c>
      <c r="H42" s="60" t="s">
        <v>309</v>
      </c>
      <c r="I42" s="61" t="s">
        <v>249</v>
      </c>
      <c r="J42" s="62" t="s">
        <v>250</v>
      </c>
      <c r="K42" s="62" t="s">
        <v>248</v>
      </c>
      <c r="L42" s="63" t="s">
        <v>273</v>
      </c>
      <c r="M42">
        <v>2</v>
      </c>
    </row>
    <row r="43" spans="1:14" ht="16.5" thickBot="1" x14ac:dyDescent="0.3">
      <c r="A43" s="55" t="s">
        <v>310</v>
      </c>
      <c r="B43" s="64" t="s">
        <v>265</v>
      </c>
      <c r="C43" s="64" t="s">
        <v>263</v>
      </c>
      <c r="D43" s="65" t="s">
        <v>264</v>
      </c>
      <c r="E43" s="58" t="s">
        <v>260</v>
      </c>
      <c r="F43" s="59" t="s">
        <v>275</v>
      </c>
      <c r="H43" s="66" t="s">
        <v>310</v>
      </c>
      <c r="I43" s="61" t="s">
        <v>248</v>
      </c>
      <c r="J43" s="62" t="s">
        <v>249</v>
      </c>
      <c r="K43" s="62" t="s">
        <v>250</v>
      </c>
      <c r="L43" s="67" t="s">
        <v>275</v>
      </c>
      <c r="M43">
        <v>1</v>
      </c>
    </row>
    <row r="44" spans="1:14" ht="16.5" thickBot="1" x14ac:dyDescent="0.3">
      <c r="A44" s="55" t="s">
        <v>311</v>
      </c>
      <c r="B44" s="74" t="s">
        <v>257</v>
      </c>
      <c r="C44" s="74" t="s">
        <v>258</v>
      </c>
      <c r="D44" s="75" t="s">
        <v>259</v>
      </c>
      <c r="E44" s="58" t="s">
        <v>260</v>
      </c>
      <c r="F44" s="59" t="s">
        <v>261</v>
      </c>
      <c r="H44" s="60" t="s">
        <v>311</v>
      </c>
      <c r="I44" s="61" t="s">
        <v>248</v>
      </c>
      <c r="J44" s="62" t="s">
        <v>249</v>
      </c>
      <c r="K44" s="62" t="s">
        <v>250</v>
      </c>
      <c r="L44" s="63" t="s">
        <v>261</v>
      </c>
      <c r="M44">
        <v>2</v>
      </c>
    </row>
    <row r="45" spans="1:14" ht="16.5" thickBot="1" x14ac:dyDescent="0.3">
      <c r="A45" s="55" t="s">
        <v>312</v>
      </c>
      <c r="B45" s="64" t="s">
        <v>263</v>
      </c>
      <c r="C45" s="64" t="s">
        <v>264</v>
      </c>
      <c r="D45" s="65" t="s">
        <v>265</v>
      </c>
      <c r="E45" s="58" t="s">
        <v>260</v>
      </c>
      <c r="F45" s="59" t="s">
        <v>245</v>
      </c>
      <c r="H45" s="66" t="s">
        <v>312</v>
      </c>
      <c r="I45" s="61" t="s">
        <v>250</v>
      </c>
      <c r="J45" s="62" t="s">
        <v>248</v>
      </c>
      <c r="K45" s="62" t="s">
        <v>249</v>
      </c>
      <c r="L45" s="67" t="s">
        <v>245</v>
      </c>
      <c r="M45">
        <v>1</v>
      </c>
    </row>
    <row r="46" spans="1:14" ht="16.5" thickBot="1" x14ac:dyDescent="0.3">
      <c r="A46" s="55" t="s">
        <v>313</v>
      </c>
      <c r="B46" s="74" t="s">
        <v>258</v>
      </c>
      <c r="C46" s="74" t="s">
        <v>259</v>
      </c>
      <c r="D46" s="75" t="s">
        <v>257</v>
      </c>
      <c r="E46" s="58" t="s">
        <v>260</v>
      </c>
      <c r="F46" s="59" t="s">
        <v>267</v>
      </c>
      <c r="H46" s="60" t="s">
        <v>313</v>
      </c>
      <c r="I46" s="61" t="s">
        <v>250</v>
      </c>
      <c r="J46" s="62" t="s">
        <v>248</v>
      </c>
      <c r="K46" s="62" t="s">
        <v>249</v>
      </c>
      <c r="L46" s="63" t="s">
        <v>267</v>
      </c>
      <c r="M46">
        <v>2</v>
      </c>
    </row>
    <row r="47" spans="1:14" ht="16.5" thickBot="1" x14ac:dyDescent="0.3">
      <c r="A47" s="55" t="s">
        <v>314</v>
      </c>
      <c r="B47" s="76" t="s">
        <v>264</v>
      </c>
      <c r="C47" s="76" t="s">
        <v>265</v>
      </c>
      <c r="D47" s="77" t="s">
        <v>263</v>
      </c>
      <c r="E47" s="58" t="s">
        <v>260</v>
      </c>
      <c r="F47" s="59" t="s">
        <v>269</v>
      </c>
      <c r="H47" s="66" t="s">
        <v>314</v>
      </c>
      <c r="I47" s="61" t="s">
        <v>249</v>
      </c>
      <c r="J47" s="62" t="s">
        <v>250</v>
      </c>
      <c r="K47" s="62" t="s">
        <v>248</v>
      </c>
      <c r="L47" s="67" t="s">
        <v>269</v>
      </c>
      <c r="M47">
        <v>1</v>
      </c>
    </row>
    <row r="48" spans="1:14" ht="16.5" thickBot="1" x14ac:dyDescent="0.3">
      <c r="A48" s="55" t="s">
        <v>315</v>
      </c>
      <c r="B48" s="74" t="s">
        <v>259</v>
      </c>
      <c r="C48" s="74" t="s">
        <v>257</v>
      </c>
      <c r="D48" s="75" t="s">
        <v>258</v>
      </c>
      <c r="E48" s="58" t="s">
        <v>260</v>
      </c>
      <c r="F48" s="59" t="s">
        <v>271</v>
      </c>
      <c r="H48" s="60" t="s">
        <v>315</v>
      </c>
      <c r="I48" s="61" t="s">
        <v>249</v>
      </c>
      <c r="J48" s="62" t="s">
        <v>250</v>
      </c>
      <c r="K48" s="62" t="s">
        <v>248</v>
      </c>
      <c r="L48" s="63" t="s">
        <v>271</v>
      </c>
      <c r="M48">
        <v>1</v>
      </c>
    </row>
    <row r="49" spans="1:13" ht="16.5" thickBot="1" x14ac:dyDescent="0.3">
      <c r="A49" s="55" t="s">
        <v>316</v>
      </c>
      <c r="B49" s="64" t="s">
        <v>265</v>
      </c>
      <c r="C49" s="64" t="s">
        <v>263</v>
      </c>
      <c r="D49" s="65" t="s">
        <v>264</v>
      </c>
      <c r="E49" s="58" t="s">
        <v>260</v>
      </c>
      <c r="F49" s="59" t="s">
        <v>273</v>
      </c>
      <c r="H49" s="66" t="s">
        <v>316</v>
      </c>
      <c r="I49" s="61" t="s">
        <v>248</v>
      </c>
      <c r="J49" s="62" t="s">
        <v>249</v>
      </c>
      <c r="K49" s="62" t="s">
        <v>250</v>
      </c>
      <c r="L49" s="67" t="s">
        <v>273</v>
      </c>
      <c r="M49">
        <v>2</v>
      </c>
    </row>
    <row r="50" spans="1:13" ht="16.5" thickBot="1" x14ac:dyDescent="0.3">
      <c r="A50" s="55" t="s">
        <v>317</v>
      </c>
      <c r="B50" s="74" t="s">
        <v>257</v>
      </c>
      <c r="C50" s="74" t="s">
        <v>258</v>
      </c>
      <c r="D50" s="75" t="s">
        <v>259</v>
      </c>
      <c r="E50" s="58" t="s">
        <v>260</v>
      </c>
      <c r="F50" s="59" t="s">
        <v>275</v>
      </c>
      <c r="H50" s="60" t="s">
        <v>317</v>
      </c>
      <c r="I50" s="61" t="s">
        <v>248</v>
      </c>
      <c r="J50" s="62" t="s">
        <v>249</v>
      </c>
      <c r="K50" s="62" t="s">
        <v>250</v>
      </c>
      <c r="L50" s="63" t="s">
        <v>275</v>
      </c>
      <c r="M50">
        <v>1</v>
      </c>
    </row>
    <row r="51" spans="1:13" ht="16.5" thickBot="1" x14ac:dyDescent="0.3">
      <c r="A51" s="55" t="s">
        <v>318</v>
      </c>
      <c r="B51" s="64" t="s">
        <v>263</v>
      </c>
      <c r="C51" s="64" t="s">
        <v>264</v>
      </c>
      <c r="D51" s="65" t="s">
        <v>265</v>
      </c>
      <c r="E51" s="58" t="s">
        <v>260</v>
      </c>
      <c r="F51" s="59" t="s">
        <v>261</v>
      </c>
      <c r="H51" s="66" t="s">
        <v>318</v>
      </c>
      <c r="I51" s="61" t="s">
        <v>250</v>
      </c>
      <c r="J51" s="62" t="s">
        <v>248</v>
      </c>
      <c r="K51" s="62" t="s">
        <v>249</v>
      </c>
      <c r="L51" s="67" t="s">
        <v>261</v>
      </c>
      <c r="M51">
        <v>2</v>
      </c>
    </row>
    <row r="52" spans="1:13" ht="16.5" thickBot="1" x14ac:dyDescent="0.3">
      <c r="A52" s="55" t="s">
        <v>319</v>
      </c>
      <c r="B52" s="74" t="s">
        <v>258</v>
      </c>
      <c r="C52" s="74" t="s">
        <v>259</v>
      </c>
      <c r="D52" s="75" t="s">
        <v>257</v>
      </c>
      <c r="E52" s="58" t="s">
        <v>260</v>
      </c>
      <c r="F52" s="59" t="s">
        <v>245</v>
      </c>
      <c r="H52" s="60" t="s">
        <v>319</v>
      </c>
      <c r="I52" s="61" t="s">
        <v>250</v>
      </c>
      <c r="J52" s="62" t="s">
        <v>248</v>
      </c>
      <c r="K52" s="62" t="s">
        <v>249</v>
      </c>
      <c r="L52" s="63" t="s">
        <v>245</v>
      </c>
      <c r="M52">
        <v>1</v>
      </c>
    </row>
    <row r="53" spans="1:13" ht="16.5" thickBot="1" x14ac:dyDescent="0.3">
      <c r="A53" s="55" t="s">
        <v>320</v>
      </c>
      <c r="B53" s="76" t="s">
        <v>264</v>
      </c>
      <c r="C53" s="76" t="s">
        <v>265</v>
      </c>
      <c r="D53" s="77" t="s">
        <v>263</v>
      </c>
      <c r="E53" s="58" t="s">
        <v>260</v>
      </c>
      <c r="F53" s="59" t="s">
        <v>267</v>
      </c>
      <c r="H53" s="66" t="s">
        <v>320</v>
      </c>
      <c r="I53" s="61" t="s">
        <v>249</v>
      </c>
      <c r="J53" s="62" t="s">
        <v>250</v>
      </c>
      <c r="K53" s="62" t="s">
        <v>248</v>
      </c>
      <c r="L53" s="67" t="s">
        <v>267</v>
      </c>
      <c r="M53">
        <v>2</v>
      </c>
    </row>
    <row r="54" spans="1:13" ht="16.5" thickBot="1" x14ac:dyDescent="0.3">
      <c r="A54" s="55" t="s">
        <v>321</v>
      </c>
      <c r="B54" s="74" t="s">
        <v>259</v>
      </c>
      <c r="C54" s="74" t="s">
        <v>257</v>
      </c>
      <c r="D54" s="75" t="s">
        <v>258</v>
      </c>
      <c r="E54" s="58" t="s">
        <v>260</v>
      </c>
      <c r="F54" s="59" t="s">
        <v>269</v>
      </c>
      <c r="H54" s="60" t="s">
        <v>321</v>
      </c>
      <c r="I54" s="61" t="s">
        <v>249</v>
      </c>
      <c r="J54" s="62" t="s">
        <v>250</v>
      </c>
      <c r="K54" s="62" t="s">
        <v>248</v>
      </c>
      <c r="L54" s="63" t="s">
        <v>269</v>
      </c>
      <c r="M54">
        <v>1</v>
      </c>
    </row>
    <row r="55" spans="1:13" ht="16.5" thickBot="1" x14ac:dyDescent="0.3">
      <c r="A55" s="55" t="s">
        <v>322</v>
      </c>
      <c r="B55" s="64" t="s">
        <v>265</v>
      </c>
      <c r="C55" s="64" t="s">
        <v>263</v>
      </c>
      <c r="D55" s="65" t="s">
        <v>264</v>
      </c>
      <c r="E55" s="58" t="s">
        <v>260</v>
      </c>
      <c r="F55" s="59" t="s">
        <v>271</v>
      </c>
      <c r="H55" s="66" t="s">
        <v>322</v>
      </c>
      <c r="I55" s="61" t="s">
        <v>248</v>
      </c>
      <c r="J55" s="62" t="s">
        <v>249</v>
      </c>
      <c r="K55" s="62" t="s">
        <v>250</v>
      </c>
      <c r="L55" s="67" t="s">
        <v>271</v>
      </c>
      <c r="M55">
        <v>2</v>
      </c>
    </row>
    <row r="56" spans="1:13" ht="16.5" thickBot="1" x14ac:dyDescent="0.3">
      <c r="A56" s="55" t="s">
        <v>323</v>
      </c>
      <c r="B56" s="74" t="s">
        <v>257</v>
      </c>
      <c r="C56" s="74" t="s">
        <v>258</v>
      </c>
      <c r="D56" s="75" t="s">
        <v>259</v>
      </c>
      <c r="E56" s="58" t="s">
        <v>260</v>
      </c>
      <c r="F56" s="59" t="s">
        <v>273</v>
      </c>
      <c r="H56" s="60" t="s">
        <v>323</v>
      </c>
      <c r="I56" s="61" t="s">
        <v>248</v>
      </c>
      <c r="J56" s="62" t="s">
        <v>249</v>
      </c>
      <c r="K56" s="62" t="s">
        <v>250</v>
      </c>
      <c r="L56" s="63" t="s">
        <v>273</v>
      </c>
      <c r="M56">
        <v>1</v>
      </c>
    </row>
    <row r="57" spans="1:13" ht="16.5" thickBot="1" x14ac:dyDescent="0.3">
      <c r="A57" s="55" t="s">
        <v>324</v>
      </c>
      <c r="B57" s="64" t="s">
        <v>263</v>
      </c>
      <c r="C57" s="64" t="s">
        <v>264</v>
      </c>
      <c r="D57" s="65" t="s">
        <v>265</v>
      </c>
      <c r="E57" s="58" t="s">
        <v>260</v>
      </c>
      <c r="F57" s="59" t="s">
        <v>275</v>
      </c>
      <c r="H57" s="66" t="s">
        <v>324</v>
      </c>
      <c r="I57" s="61" t="s">
        <v>250</v>
      </c>
      <c r="J57" s="62" t="s">
        <v>248</v>
      </c>
      <c r="K57" s="62" t="s">
        <v>249</v>
      </c>
      <c r="L57" s="67" t="s">
        <v>275</v>
      </c>
      <c r="M57">
        <v>2</v>
      </c>
    </row>
    <row r="58" spans="1:13" ht="16.5" thickBot="1" x14ac:dyDescent="0.3">
      <c r="A58" s="55" t="s">
        <v>325</v>
      </c>
      <c r="B58" s="74" t="s">
        <v>258</v>
      </c>
      <c r="C58" s="74" t="s">
        <v>259</v>
      </c>
      <c r="D58" s="75" t="s">
        <v>257</v>
      </c>
      <c r="E58" s="58" t="s">
        <v>260</v>
      </c>
      <c r="F58" s="59" t="s">
        <v>261</v>
      </c>
      <c r="H58" s="60" t="s">
        <v>325</v>
      </c>
      <c r="I58" s="61" t="s">
        <v>250</v>
      </c>
      <c r="J58" s="62" t="s">
        <v>248</v>
      </c>
      <c r="K58" s="62" t="s">
        <v>249</v>
      </c>
      <c r="L58" s="63" t="s">
        <v>261</v>
      </c>
      <c r="M58">
        <v>1</v>
      </c>
    </row>
    <row r="59" spans="1:13" ht="16.5" thickBot="1" x14ac:dyDescent="0.3">
      <c r="A59" s="55" t="s">
        <v>326</v>
      </c>
      <c r="B59" s="76" t="s">
        <v>264</v>
      </c>
      <c r="C59" s="76" t="s">
        <v>265</v>
      </c>
      <c r="D59" s="77" t="s">
        <v>263</v>
      </c>
      <c r="E59" s="58" t="s">
        <v>260</v>
      </c>
      <c r="F59" s="59" t="s">
        <v>245</v>
      </c>
      <c r="H59" s="66" t="s">
        <v>326</v>
      </c>
      <c r="I59" s="61" t="s">
        <v>249</v>
      </c>
      <c r="J59" s="62" t="s">
        <v>250</v>
      </c>
      <c r="K59" s="62" t="s">
        <v>248</v>
      </c>
      <c r="L59" s="67" t="s">
        <v>245</v>
      </c>
      <c r="M59">
        <v>2</v>
      </c>
    </row>
    <row r="60" spans="1:13" ht="16.5" thickBot="1" x14ac:dyDescent="0.3">
      <c r="A60" s="55" t="s">
        <v>327</v>
      </c>
      <c r="B60" s="74" t="s">
        <v>259</v>
      </c>
      <c r="C60" s="74" t="s">
        <v>257</v>
      </c>
      <c r="D60" s="75" t="s">
        <v>258</v>
      </c>
      <c r="E60" s="58" t="s">
        <v>260</v>
      </c>
      <c r="F60" s="59" t="s">
        <v>267</v>
      </c>
      <c r="H60" s="60" t="s">
        <v>327</v>
      </c>
      <c r="I60" s="61" t="s">
        <v>249</v>
      </c>
      <c r="J60" s="62" t="s">
        <v>250</v>
      </c>
      <c r="K60" s="62" t="s">
        <v>248</v>
      </c>
      <c r="L60" s="63" t="s">
        <v>267</v>
      </c>
      <c r="M60">
        <v>1</v>
      </c>
    </row>
    <row r="61" spans="1:13" ht="16.5" thickBot="1" x14ac:dyDescent="0.3">
      <c r="A61" s="55" t="s">
        <v>328</v>
      </c>
      <c r="B61" s="64" t="s">
        <v>265</v>
      </c>
      <c r="C61" s="64" t="s">
        <v>263</v>
      </c>
      <c r="D61" s="65" t="s">
        <v>264</v>
      </c>
      <c r="E61" s="58" t="s">
        <v>260</v>
      </c>
      <c r="F61" s="59" t="s">
        <v>269</v>
      </c>
      <c r="H61" s="66" t="s">
        <v>328</v>
      </c>
      <c r="I61" s="61" t="s">
        <v>248</v>
      </c>
      <c r="J61" s="62" t="s">
        <v>249</v>
      </c>
      <c r="K61" s="62" t="s">
        <v>250</v>
      </c>
      <c r="L61" s="67" t="s">
        <v>269</v>
      </c>
      <c r="M61">
        <v>2</v>
      </c>
    </row>
    <row r="62" spans="1:13" ht="16.5" thickBot="1" x14ac:dyDescent="0.3">
      <c r="A62" s="55" t="s">
        <v>329</v>
      </c>
      <c r="B62" s="74" t="s">
        <v>257</v>
      </c>
      <c r="C62" s="74" t="s">
        <v>258</v>
      </c>
      <c r="D62" s="75" t="s">
        <v>259</v>
      </c>
      <c r="E62" s="58" t="s">
        <v>260</v>
      </c>
      <c r="F62" s="59" t="s">
        <v>271</v>
      </c>
      <c r="H62" s="60" t="s">
        <v>329</v>
      </c>
      <c r="I62" s="61" t="s">
        <v>248</v>
      </c>
      <c r="J62" s="62" t="s">
        <v>249</v>
      </c>
      <c r="K62" s="62" t="s">
        <v>250</v>
      </c>
      <c r="L62" s="63" t="s">
        <v>271</v>
      </c>
      <c r="M62">
        <v>1</v>
      </c>
    </row>
    <row r="63" spans="1:13" ht="16.5" thickBot="1" x14ac:dyDescent="0.3">
      <c r="A63" s="55" t="s">
        <v>330</v>
      </c>
      <c r="B63" s="64" t="s">
        <v>263</v>
      </c>
      <c r="C63" s="64" t="s">
        <v>264</v>
      </c>
      <c r="D63" s="65" t="s">
        <v>265</v>
      </c>
      <c r="E63" s="58" t="s">
        <v>260</v>
      </c>
      <c r="F63" s="59" t="s">
        <v>273</v>
      </c>
      <c r="H63" s="66" t="s">
        <v>330</v>
      </c>
      <c r="I63" s="61" t="s">
        <v>250</v>
      </c>
      <c r="J63" s="62" t="s">
        <v>248</v>
      </c>
      <c r="K63" s="62" t="s">
        <v>249</v>
      </c>
      <c r="L63" s="67" t="s">
        <v>273</v>
      </c>
      <c r="M63">
        <v>1</v>
      </c>
    </row>
    <row r="64" spans="1:13" ht="16.5" thickBot="1" x14ac:dyDescent="0.3">
      <c r="A64" s="55" t="s">
        <v>331</v>
      </c>
      <c r="B64" s="74" t="s">
        <v>258</v>
      </c>
      <c r="C64" s="74" t="s">
        <v>259</v>
      </c>
      <c r="D64" s="75" t="s">
        <v>257</v>
      </c>
      <c r="E64" s="58" t="s">
        <v>260</v>
      </c>
      <c r="F64" s="59" t="s">
        <v>275</v>
      </c>
      <c r="H64" s="60" t="s">
        <v>331</v>
      </c>
      <c r="I64" s="61" t="s">
        <v>250</v>
      </c>
      <c r="J64" s="62" t="s">
        <v>248</v>
      </c>
      <c r="K64" s="62" t="s">
        <v>249</v>
      </c>
      <c r="L64" s="63" t="s">
        <v>275</v>
      </c>
      <c r="M64">
        <v>2</v>
      </c>
    </row>
    <row r="65" spans="1:13" ht="16.5" thickBot="1" x14ac:dyDescent="0.3">
      <c r="A65" s="55" t="s">
        <v>332</v>
      </c>
      <c r="B65" s="76" t="s">
        <v>264</v>
      </c>
      <c r="C65" s="76" t="s">
        <v>265</v>
      </c>
      <c r="D65" s="77" t="s">
        <v>263</v>
      </c>
      <c r="E65" s="58" t="s">
        <v>260</v>
      </c>
      <c r="F65" s="59" t="s">
        <v>261</v>
      </c>
      <c r="H65" s="66" t="s">
        <v>332</v>
      </c>
      <c r="I65" s="61" t="s">
        <v>249</v>
      </c>
      <c r="J65" s="62" t="s">
        <v>250</v>
      </c>
      <c r="K65" s="62" t="s">
        <v>248</v>
      </c>
      <c r="L65" s="67" t="s">
        <v>261</v>
      </c>
      <c r="M65">
        <v>1</v>
      </c>
    </row>
    <row r="66" spans="1:13" ht="16.5" thickBot="1" x14ac:dyDescent="0.3">
      <c r="A66" s="55" t="s">
        <v>333</v>
      </c>
      <c r="B66" s="74" t="s">
        <v>259</v>
      </c>
      <c r="C66" s="74" t="s">
        <v>257</v>
      </c>
      <c r="D66" s="75" t="s">
        <v>258</v>
      </c>
      <c r="E66" s="58" t="s">
        <v>260</v>
      </c>
      <c r="F66" s="59" t="s">
        <v>245</v>
      </c>
      <c r="H66" s="60" t="s">
        <v>333</v>
      </c>
      <c r="I66" s="61" t="s">
        <v>249</v>
      </c>
      <c r="J66" s="62" t="s">
        <v>250</v>
      </c>
      <c r="K66" s="62" t="s">
        <v>248</v>
      </c>
      <c r="L66" s="63" t="s">
        <v>245</v>
      </c>
      <c r="M66">
        <v>2</v>
      </c>
    </row>
    <row r="67" spans="1:13" ht="16.5" thickBot="1" x14ac:dyDescent="0.3">
      <c r="A67" s="55" t="s">
        <v>334</v>
      </c>
      <c r="B67" s="64" t="s">
        <v>265</v>
      </c>
      <c r="C67" s="64" t="s">
        <v>263</v>
      </c>
      <c r="D67" s="65" t="s">
        <v>264</v>
      </c>
      <c r="E67" s="58" t="s">
        <v>260</v>
      </c>
      <c r="F67" s="59" t="s">
        <v>267</v>
      </c>
      <c r="H67" s="66" t="s">
        <v>334</v>
      </c>
      <c r="I67" s="61" t="s">
        <v>248</v>
      </c>
      <c r="J67" s="62" t="s">
        <v>249</v>
      </c>
      <c r="K67" s="62" t="s">
        <v>250</v>
      </c>
      <c r="L67" s="67" t="s">
        <v>267</v>
      </c>
      <c r="M67">
        <v>1</v>
      </c>
    </row>
    <row r="68" spans="1:13" ht="16.5" thickBot="1" x14ac:dyDescent="0.3">
      <c r="A68" s="55" t="s">
        <v>335</v>
      </c>
      <c r="B68" s="74" t="s">
        <v>257</v>
      </c>
      <c r="C68" s="74" t="s">
        <v>258</v>
      </c>
      <c r="D68" s="75" t="s">
        <v>259</v>
      </c>
      <c r="E68" s="58" t="s">
        <v>260</v>
      </c>
      <c r="F68" s="59" t="s">
        <v>269</v>
      </c>
      <c r="H68" s="60" t="s">
        <v>335</v>
      </c>
      <c r="I68" s="61" t="s">
        <v>248</v>
      </c>
      <c r="J68" s="62" t="s">
        <v>249</v>
      </c>
      <c r="K68" s="62" t="s">
        <v>250</v>
      </c>
      <c r="L68" s="63" t="s">
        <v>269</v>
      </c>
      <c r="M68">
        <v>2</v>
      </c>
    </row>
    <row r="69" spans="1:13" ht="16.5" thickBot="1" x14ac:dyDescent="0.3">
      <c r="A69" s="55" t="s">
        <v>336</v>
      </c>
      <c r="B69" s="64" t="s">
        <v>263</v>
      </c>
      <c r="C69" s="64" t="s">
        <v>264</v>
      </c>
      <c r="D69" s="65" t="s">
        <v>265</v>
      </c>
      <c r="E69" s="58" t="s">
        <v>260</v>
      </c>
      <c r="F69" s="59" t="s">
        <v>271</v>
      </c>
      <c r="H69" s="66" t="s">
        <v>336</v>
      </c>
      <c r="I69" s="61" t="s">
        <v>250</v>
      </c>
      <c r="J69" s="62" t="s">
        <v>248</v>
      </c>
      <c r="K69" s="62" t="s">
        <v>249</v>
      </c>
      <c r="L69" s="67" t="s">
        <v>271</v>
      </c>
      <c r="M69">
        <v>1</v>
      </c>
    </row>
    <row r="70" spans="1:13" ht="16.5" thickBot="1" x14ac:dyDescent="0.3">
      <c r="A70" s="55" t="s">
        <v>337</v>
      </c>
      <c r="B70" s="74" t="s">
        <v>258</v>
      </c>
      <c r="C70" s="74" t="s">
        <v>259</v>
      </c>
      <c r="D70" s="75" t="s">
        <v>257</v>
      </c>
      <c r="E70" s="58" t="s">
        <v>260</v>
      </c>
      <c r="F70" s="59" t="s">
        <v>273</v>
      </c>
      <c r="H70" s="60" t="s">
        <v>337</v>
      </c>
      <c r="I70" s="61" t="s">
        <v>250</v>
      </c>
      <c r="J70" s="62" t="s">
        <v>248</v>
      </c>
      <c r="K70" s="62" t="s">
        <v>249</v>
      </c>
      <c r="L70" s="63" t="s">
        <v>273</v>
      </c>
      <c r="M70">
        <v>2</v>
      </c>
    </row>
    <row r="71" spans="1:13" ht="16.5" thickBot="1" x14ac:dyDescent="0.3">
      <c r="A71" s="55" t="s">
        <v>338</v>
      </c>
      <c r="B71" s="76" t="s">
        <v>264</v>
      </c>
      <c r="C71" s="76" t="s">
        <v>265</v>
      </c>
      <c r="D71" s="77" t="s">
        <v>263</v>
      </c>
      <c r="E71" s="58" t="s">
        <v>260</v>
      </c>
      <c r="F71" s="59" t="s">
        <v>275</v>
      </c>
      <c r="H71" s="66" t="s">
        <v>338</v>
      </c>
      <c r="I71" s="61" t="s">
        <v>249</v>
      </c>
      <c r="J71" s="62" t="s">
        <v>250</v>
      </c>
      <c r="K71" s="62" t="s">
        <v>248</v>
      </c>
      <c r="L71" s="67" t="s">
        <v>275</v>
      </c>
      <c r="M71">
        <v>1</v>
      </c>
    </row>
    <row r="72" spans="1:13" ht="16.5" thickBot="1" x14ac:dyDescent="0.3">
      <c r="A72" s="55" t="s">
        <v>339</v>
      </c>
      <c r="B72" s="74" t="s">
        <v>259</v>
      </c>
      <c r="C72" s="74" t="s">
        <v>257</v>
      </c>
      <c r="D72" s="75" t="s">
        <v>258</v>
      </c>
      <c r="E72" s="58" t="s">
        <v>260</v>
      </c>
      <c r="F72" s="59" t="s">
        <v>261</v>
      </c>
      <c r="H72" s="60" t="s">
        <v>339</v>
      </c>
      <c r="I72" s="61" t="s">
        <v>249</v>
      </c>
      <c r="J72" s="62" t="s">
        <v>250</v>
      </c>
      <c r="K72" s="62" t="s">
        <v>248</v>
      </c>
      <c r="L72" s="63" t="s">
        <v>261</v>
      </c>
      <c r="M72">
        <v>2</v>
      </c>
    </row>
    <row r="73" spans="1:13" ht="16.5" thickBot="1" x14ac:dyDescent="0.3">
      <c r="A73" s="55" t="s">
        <v>340</v>
      </c>
      <c r="B73" s="64" t="s">
        <v>265</v>
      </c>
      <c r="C73" s="64" t="s">
        <v>263</v>
      </c>
      <c r="D73" s="65" t="s">
        <v>264</v>
      </c>
      <c r="E73" s="58" t="s">
        <v>260</v>
      </c>
      <c r="F73" s="59" t="s">
        <v>245</v>
      </c>
      <c r="H73" s="66" t="s">
        <v>340</v>
      </c>
      <c r="I73" s="61" t="s">
        <v>248</v>
      </c>
      <c r="J73" s="62" t="s">
        <v>249</v>
      </c>
      <c r="K73" s="62" t="s">
        <v>250</v>
      </c>
      <c r="L73" s="67" t="s">
        <v>245</v>
      </c>
      <c r="M73">
        <v>1</v>
      </c>
    </row>
    <row r="74" spans="1:13" ht="16.5" thickBot="1" x14ac:dyDescent="0.3">
      <c r="A74" s="55" t="s">
        <v>341</v>
      </c>
      <c r="B74" s="74" t="s">
        <v>257</v>
      </c>
      <c r="C74" s="74" t="s">
        <v>258</v>
      </c>
      <c r="D74" s="75" t="s">
        <v>259</v>
      </c>
      <c r="E74" s="58" t="s">
        <v>260</v>
      </c>
      <c r="F74" s="59" t="s">
        <v>267</v>
      </c>
      <c r="H74" s="60" t="s">
        <v>341</v>
      </c>
      <c r="I74" s="61" t="s">
        <v>248</v>
      </c>
      <c r="J74" s="62" t="s">
        <v>249</v>
      </c>
      <c r="K74" s="62" t="s">
        <v>250</v>
      </c>
      <c r="L74" s="63" t="s">
        <v>267</v>
      </c>
      <c r="M74">
        <v>2</v>
      </c>
    </row>
    <row r="75" spans="1:13" ht="16.5" thickBot="1" x14ac:dyDescent="0.3">
      <c r="A75" s="55" t="s">
        <v>342</v>
      </c>
      <c r="B75" s="64" t="s">
        <v>263</v>
      </c>
      <c r="C75" s="64" t="s">
        <v>264</v>
      </c>
      <c r="D75" s="65" t="s">
        <v>265</v>
      </c>
      <c r="E75" s="58" t="s">
        <v>260</v>
      </c>
      <c r="F75" s="59" t="s">
        <v>269</v>
      </c>
      <c r="H75" s="66" t="s">
        <v>342</v>
      </c>
      <c r="I75" s="61" t="s">
        <v>250</v>
      </c>
      <c r="J75" s="62" t="s">
        <v>248</v>
      </c>
      <c r="K75" s="62" t="s">
        <v>249</v>
      </c>
      <c r="L75" s="67" t="s">
        <v>269</v>
      </c>
      <c r="M75">
        <v>1</v>
      </c>
    </row>
    <row r="76" spans="1:13" ht="16.5" thickBot="1" x14ac:dyDescent="0.3">
      <c r="A76" s="55" t="s">
        <v>343</v>
      </c>
      <c r="B76" s="74" t="s">
        <v>258</v>
      </c>
      <c r="C76" s="74" t="s">
        <v>259</v>
      </c>
      <c r="D76" s="75" t="s">
        <v>257</v>
      </c>
      <c r="E76" s="58" t="s">
        <v>260</v>
      </c>
      <c r="F76" s="59" t="s">
        <v>271</v>
      </c>
      <c r="H76" s="60" t="s">
        <v>343</v>
      </c>
      <c r="I76" s="61" t="s">
        <v>250</v>
      </c>
      <c r="J76" s="62" t="s">
        <v>248</v>
      </c>
      <c r="K76" s="62" t="s">
        <v>249</v>
      </c>
      <c r="L76" s="63" t="s">
        <v>271</v>
      </c>
      <c r="M76">
        <v>2</v>
      </c>
    </row>
    <row r="77" spans="1:13" ht="16.5" thickBot="1" x14ac:dyDescent="0.3">
      <c r="A77" s="55" t="s">
        <v>344</v>
      </c>
      <c r="B77" s="76" t="s">
        <v>264</v>
      </c>
      <c r="C77" s="76" t="s">
        <v>265</v>
      </c>
      <c r="D77" s="77" t="s">
        <v>263</v>
      </c>
      <c r="E77" s="58" t="s">
        <v>260</v>
      </c>
      <c r="F77" s="59" t="s">
        <v>273</v>
      </c>
      <c r="H77" s="66" t="s">
        <v>344</v>
      </c>
      <c r="I77" s="61" t="s">
        <v>249</v>
      </c>
      <c r="J77" s="62" t="s">
        <v>250</v>
      </c>
      <c r="K77" s="62" t="s">
        <v>248</v>
      </c>
      <c r="L77" s="67" t="s">
        <v>273</v>
      </c>
      <c r="M77">
        <v>1</v>
      </c>
    </row>
    <row r="78" spans="1:13" ht="16.5" thickBot="1" x14ac:dyDescent="0.3">
      <c r="A78" s="55" t="s">
        <v>345</v>
      </c>
      <c r="B78" s="74" t="s">
        <v>259</v>
      </c>
      <c r="C78" s="74" t="s">
        <v>257</v>
      </c>
      <c r="D78" s="75" t="s">
        <v>258</v>
      </c>
      <c r="E78" s="58" t="s">
        <v>260</v>
      </c>
      <c r="F78" s="59" t="s">
        <v>275</v>
      </c>
      <c r="H78" s="60" t="s">
        <v>345</v>
      </c>
      <c r="I78" s="61" t="s">
        <v>249</v>
      </c>
      <c r="J78" s="62" t="s">
        <v>250</v>
      </c>
      <c r="K78" s="62" t="s">
        <v>248</v>
      </c>
      <c r="L78" s="63" t="s">
        <v>275</v>
      </c>
      <c r="M78">
        <v>1</v>
      </c>
    </row>
    <row r="79" spans="1:13" ht="16.5" thickBot="1" x14ac:dyDescent="0.3">
      <c r="A79" s="55" t="s">
        <v>346</v>
      </c>
      <c r="B79" s="64" t="s">
        <v>265</v>
      </c>
      <c r="C79" s="64" t="s">
        <v>263</v>
      </c>
      <c r="D79" s="65" t="s">
        <v>264</v>
      </c>
      <c r="E79" s="58" t="s">
        <v>260</v>
      </c>
      <c r="F79" s="59" t="s">
        <v>261</v>
      </c>
      <c r="H79" s="66" t="s">
        <v>346</v>
      </c>
      <c r="I79" s="61" t="s">
        <v>248</v>
      </c>
      <c r="J79" s="62" t="s">
        <v>249</v>
      </c>
      <c r="K79" s="62" t="s">
        <v>250</v>
      </c>
      <c r="L79" s="67" t="s">
        <v>261</v>
      </c>
      <c r="M79">
        <v>2</v>
      </c>
    </row>
    <row r="80" spans="1:13" ht="16.5" thickBot="1" x14ac:dyDescent="0.3">
      <c r="A80" s="55" t="s">
        <v>347</v>
      </c>
      <c r="B80" s="74" t="s">
        <v>257</v>
      </c>
      <c r="C80" s="74" t="s">
        <v>258</v>
      </c>
      <c r="D80" s="75" t="s">
        <v>259</v>
      </c>
      <c r="E80" s="58" t="s">
        <v>260</v>
      </c>
      <c r="F80" s="59" t="s">
        <v>245</v>
      </c>
      <c r="H80" s="60" t="s">
        <v>347</v>
      </c>
      <c r="I80" s="61" t="s">
        <v>248</v>
      </c>
      <c r="J80" s="62" t="s">
        <v>249</v>
      </c>
      <c r="K80" s="62" t="s">
        <v>250</v>
      </c>
      <c r="L80" s="63" t="s">
        <v>245</v>
      </c>
      <c r="M80">
        <v>1</v>
      </c>
    </row>
    <row r="81" spans="1:13" ht="16.5" thickBot="1" x14ac:dyDescent="0.3">
      <c r="A81" s="55" t="s">
        <v>348</v>
      </c>
      <c r="B81" s="64" t="s">
        <v>263</v>
      </c>
      <c r="C81" s="64" t="s">
        <v>264</v>
      </c>
      <c r="D81" s="65" t="s">
        <v>265</v>
      </c>
      <c r="E81" s="58" t="s">
        <v>260</v>
      </c>
      <c r="F81" s="59" t="s">
        <v>267</v>
      </c>
      <c r="H81" s="66" t="s">
        <v>348</v>
      </c>
      <c r="I81" s="61" t="s">
        <v>250</v>
      </c>
      <c r="J81" s="62" t="s">
        <v>248</v>
      </c>
      <c r="K81" s="62" t="s">
        <v>249</v>
      </c>
      <c r="L81" s="67" t="s">
        <v>267</v>
      </c>
      <c r="M81">
        <v>2</v>
      </c>
    </row>
    <row r="82" spans="1:13" ht="16.5" thickBot="1" x14ac:dyDescent="0.3">
      <c r="A82" s="55" t="s">
        <v>349</v>
      </c>
      <c r="B82" s="74" t="s">
        <v>258</v>
      </c>
      <c r="C82" s="74" t="s">
        <v>259</v>
      </c>
      <c r="D82" s="75" t="s">
        <v>257</v>
      </c>
      <c r="E82" s="58" t="s">
        <v>260</v>
      </c>
      <c r="F82" s="59" t="s">
        <v>269</v>
      </c>
      <c r="H82" s="60" t="s">
        <v>349</v>
      </c>
      <c r="I82" s="61" t="s">
        <v>250</v>
      </c>
      <c r="J82" s="62" t="s">
        <v>248</v>
      </c>
      <c r="K82" s="62" t="s">
        <v>249</v>
      </c>
      <c r="L82" s="63" t="s">
        <v>269</v>
      </c>
      <c r="M82">
        <v>1</v>
      </c>
    </row>
    <row r="83" spans="1:13" ht="16.5" thickBot="1" x14ac:dyDescent="0.3">
      <c r="A83" s="55" t="s">
        <v>350</v>
      </c>
      <c r="B83" s="76" t="s">
        <v>264</v>
      </c>
      <c r="C83" s="76" t="s">
        <v>265</v>
      </c>
      <c r="D83" s="77" t="s">
        <v>263</v>
      </c>
      <c r="E83" s="58" t="s">
        <v>260</v>
      </c>
      <c r="F83" s="59" t="s">
        <v>271</v>
      </c>
      <c r="H83" s="66" t="s">
        <v>350</v>
      </c>
      <c r="I83" s="61" t="s">
        <v>249</v>
      </c>
      <c r="J83" s="62" t="s">
        <v>250</v>
      </c>
      <c r="K83" s="62" t="s">
        <v>248</v>
      </c>
      <c r="L83" s="67" t="s">
        <v>271</v>
      </c>
      <c r="M83">
        <v>2</v>
      </c>
    </row>
    <row r="84" spans="1:13" ht="16.5" thickBot="1" x14ac:dyDescent="0.3">
      <c r="A84" s="55" t="s">
        <v>351</v>
      </c>
      <c r="B84" s="74" t="s">
        <v>259</v>
      </c>
      <c r="C84" s="74" t="s">
        <v>257</v>
      </c>
      <c r="D84" s="75" t="s">
        <v>258</v>
      </c>
      <c r="E84" s="58" t="s">
        <v>260</v>
      </c>
      <c r="F84" s="59" t="s">
        <v>273</v>
      </c>
      <c r="H84" s="60" t="s">
        <v>351</v>
      </c>
      <c r="I84" s="61" t="s">
        <v>249</v>
      </c>
      <c r="J84" s="62" t="s">
        <v>250</v>
      </c>
      <c r="K84" s="62" t="s">
        <v>248</v>
      </c>
      <c r="L84" s="63" t="s">
        <v>273</v>
      </c>
      <c r="M84">
        <v>1</v>
      </c>
    </row>
    <row r="85" spans="1:13" ht="16.5" thickBot="1" x14ac:dyDescent="0.3">
      <c r="A85" s="55" t="s">
        <v>352</v>
      </c>
      <c r="B85" s="64" t="s">
        <v>265</v>
      </c>
      <c r="C85" s="64" t="s">
        <v>263</v>
      </c>
      <c r="D85" s="65" t="s">
        <v>264</v>
      </c>
      <c r="E85" s="58" t="s">
        <v>260</v>
      </c>
      <c r="F85" s="59" t="s">
        <v>275</v>
      </c>
      <c r="H85" s="66" t="s">
        <v>352</v>
      </c>
      <c r="I85" s="61" t="s">
        <v>248</v>
      </c>
      <c r="J85" s="62" t="s">
        <v>249</v>
      </c>
      <c r="K85" s="62" t="s">
        <v>250</v>
      </c>
      <c r="L85" s="67" t="s">
        <v>275</v>
      </c>
      <c r="M85">
        <v>2</v>
      </c>
    </row>
    <row r="86" spans="1:13" ht="16.5" thickBot="1" x14ac:dyDescent="0.3">
      <c r="A86" s="55" t="s">
        <v>353</v>
      </c>
      <c r="B86" s="74" t="s">
        <v>257</v>
      </c>
      <c r="C86" s="74" t="s">
        <v>258</v>
      </c>
      <c r="D86" s="75" t="s">
        <v>259</v>
      </c>
      <c r="E86" s="58" t="s">
        <v>260</v>
      </c>
      <c r="F86" s="59" t="s">
        <v>261</v>
      </c>
      <c r="H86" s="60" t="s">
        <v>353</v>
      </c>
      <c r="I86" s="61" t="s">
        <v>248</v>
      </c>
      <c r="J86" s="62" t="s">
        <v>249</v>
      </c>
      <c r="K86" s="62" t="s">
        <v>250</v>
      </c>
      <c r="L86" s="63" t="s">
        <v>261</v>
      </c>
      <c r="M86">
        <v>1</v>
      </c>
    </row>
    <row r="87" spans="1:13" ht="16.5" thickBot="1" x14ac:dyDescent="0.3">
      <c r="A87" s="55" t="s">
        <v>354</v>
      </c>
      <c r="B87" s="64" t="s">
        <v>263</v>
      </c>
      <c r="C87" s="64" t="s">
        <v>264</v>
      </c>
      <c r="D87" s="65" t="s">
        <v>265</v>
      </c>
      <c r="E87" s="58" t="s">
        <v>260</v>
      </c>
      <c r="F87" s="59" t="s">
        <v>245</v>
      </c>
      <c r="H87" s="66" t="s">
        <v>354</v>
      </c>
      <c r="I87" s="61" t="s">
        <v>250</v>
      </c>
      <c r="J87" s="62" t="s">
        <v>248</v>
      </c>
      <c r="K87" s="62" t="s">
        <v>249</v>
      </c>
      <c r="L87" s="67" t="s">
        <v>245</v>
      </c>
      <c r="M87">
        <v>2</v>
      </c>
    </row>
    <row r="88" spans="1:13" ht="16.5" thickBot="1" x14ac:dyDescent="0.3">
      <c r="A88" s="55" t="s">
        <v>355</v>
      </c>
      <c r="B88" s="74" t="s">
        <v>258</v>
      </c>
      <c r="C88" s="74" t="s">
        <v>259</v>
      </c>
      <c r="D88" s="75" t="s">
        <v>257</v>
      </c>
      <c r="E88" s="58" t="s">
        <v>260</v>
      </c>
      <c r="F88" s="59" t="s">
        <v>267</v>
      </c>
      <c r="H88" s="60" t="s">
        <v>355</v>
      </c>
      <c r="I88" s="61" t="s">
        <v>250</v>
      </c>
      <c r="J88" s="62" t="s">
        <v>248</v>
      </c>
      <c r="K88" s="62" t="s">
        <v>249</v>
      </c>
      <c r="L88" s="63" t="s">
        <v>267</v>
      </c>
      <c r="M88">
        <v>1</v>
      </c>
    </row>
    <row r="89" spans="1:13" ht="16.5" thickBot="1" x14ac:dyDescent="0.3">
      <c r="A89" s="55" t="s">
        <v>356</v>
      </c>
      <c r="B89" s="76" t="s">
        <v>264</v>
      </c>
      <c r="C89" s="76" t="s">
        <v>265</v>
      </c>
      <c r="D89" s="77" t="s">
        <v>263</v>
      </c>
      <c r="E89" s="58" t="s">
        <v>260</v>
      </c>
      <c r="F89" s="59" t="s">
        <v>269</v>
      </c>
      <c r="H89" s="66" t="s">
        <v>356</v>
      </c>
      <c r="I89" s="61" t="s">
        <v>249</v>
      </c>
      <c r="J89" s="62" t="s">
        <v>250</v>
      </c>
      <c r="K89" s="62" t="s">
        <v>248</v>
      </c>
      <c r="L89" s="67" t="s">
        <v>269</v>
      </c>
      <c r="M89">
        <v>2</v>
      </c>
    </row>
    <row r="90" spans="1:13" ht="16.5" thickBot="1" x14ac:dyDescent="0.3">
      <c r="A90" s="55" t="s">
        <v>357</v>
      </c>
      <c r="B90" s="74" t="s">
        <v>259</v>
      </c>
      <c r="C90" s="74" t="s">
        <v>257</v>
      </c>
      <c r="D90" s="75" t="s">
        <v>258</v>
      </c>
      <c r="E90" s="58" t="s">
        <v>260</v>
      </c>
      <c r="F90" s="59" t="s">
        <v>271</v>
      </c>
      <c r="H90" s="60" t="s">
        <v>357</v>
      </c>
      <c r="I90" s="61" t="s">
        <v>249</v>
      </c>
      <c r="J90" s="62" t="s">
        <v>250</v>
      </c>
      <c r="K90" s="62" t="s">
        <v>248</v>
      </c>
      <c r="L90" s="63" t="s">
        <v>271</v>
      </c>
      <c r="M90">
        <v>1</v>
      </c>
    </row>
    <row r="91" spans="1:13" ht="16.5" thickBot="1" x14ac:dyDescent="0.3">
      <c r="A91" s="55" t="s">
        <v>358</v>
      </c>
      <c r="B91" s="64" t="s">
        <v>265</v>
      </c>
      <c r="C91" s="64" t="s">
        <v>263</v>
      </c>
      <c r="D91" s="65" t="s">
        <v>264</v>
      </c>
      <c r="E91" s="58" t="s">
        <v>260</v>
      </c>
      <c r="F91" s="59" t="s">
        <v>273</v>
      </c>
      <c r="H91" s="66" t="s">
        <v>358</v>
      </c>
      <c r="I91" s="61" t="s">
        <v>248</v>
      </c>
      <c r="J91" s="62" t="s">
        <v>249</v>
      </c>
      <c r="K91" s="62" t="s">
        <v>250</v>
      </c>
      <c r="L91" s="67" t="s">
        <v>273</v>
      </c>
      <c r="M91">
        <v>2</v>
      </c>
    </row>
    <row r="92" spans="1:13" ht="16.5" thickBot="1" x14ac:dyDescent="0.3">
      <c r="A92" s="55" t="s">
        <v>359</v>
      </c>
      <c r="B92" s="74" t="s">
        <v>257</v>
      </c>
      <c r="C92" s="74" t="s">
        <v>258</v>
      </c>
      <c r="D92" s="75" t="s">
        <v>259</v>
      </c>
      <c r="E92" s="58" t="s">
        <v>260</v>
      </c>
      <c r="F92" s="59" t="s">
        <v>275</v>
      </c>
      <c r="H92" s="60" t="s">
        <v>359</v>
      </c>
      <c r="I92" s="61" t="s">
        <v>248</v>
      </c>
      <c r="J92" s="62" t="s">
        <v>249</v>
      </c>
      <c r="K92" s="62" t="s">
        <v>250</v>
      </c>
      <c r="L92" s="63" t="s">
        <v>275</v>
      </c>
      <c r="M92">
        <v>1</v>
      </c>
    </row>
    <row r="93" spans="1:13" ht="16.5" thickBot="1" x14ac:dyDescent="0.3">
      <c r="A93" s="55" t="s">
        <v>360</v>
      </c>
      <c r="B93" s="64" t="s">
        <v>263</v>
      </c>
      <c r="C93" s="64" t="s">
        <v>264</v>
      </c>
      <c r="D93" s="65" t="s">
        <v>265</v>
      </c>
      <c r="E93" s="58" t="s">
        <v>260</v>
      </c>
      <c r="F93" s="59" t="s">
        <v>261</v>
      </c>
      <c r="H93" s="66" t="s">
        <v>360</v>
      </c>
      <c r="I93" s="61" t="s">
        <v>250</v>
      </c>
      <c r="J93" s="62" t="s">
        <v>248</v>
      </c>
      <c r="K93" s="62" t="s">
        <v>249</v>
      </c>
      <c r="L93" s="67" t="s">
        <v>261</v>
      </c>
      <c r="M93">
        <v>1</v>
      </c>
    </row>
    <row r="94" spans="1:13" ht="16.5" thickBot="1" x14ac:dyDescent="0.3">
      <c r="A94" s="55" t="s">
        <v>361</v>
      </c>
      <c r="B94" s="74" t="s">
        <v>258</v>
      </c>
      <c r="C94" s="74" t="s">
        <v>259</v>
      </c>
      <c r="D94" s="75" t="s">
        <v>257</v>
      </c>
      <c r="E94" s="58" t="s">
        <v>260</v>
      </c>
      <c r="F94" s="59" t="s">
        <v>245</v>
      </c>
      <c r="H94" s="60" t="s">
        <v>361</v>
      </c>
      <c r="I94" s="61" t="s">
        <v>250</v>
      </c>
      <c r="J94" s="62" t="s">
        <v>248</v>
      </c>
      <c r="K94" s="62" t="s">
        <v>249</v>
      </c>
      <c r="L94" s="63" t="s">
        <v>245</v>
      </c>
      <c r="M94">
        <v>2</v>
      </c>
    </row>
    <row r="95" spans="1:13" ht="16.5" thickBot="1" x14ac:dyDescent="0.3">
      <c r="A95" s="55" t="s">
        <v>362</v>
      </c>
      <c r="B95" s="76" t="s">
        <v>264</v>
      </c>
      <c r="C95" s="76" t="s">
        <v>265</v>
      </c>
      <c r="D95" s="77" t="s">
        <v>263</v>
      </c>
      <c r="E95" s="58" t="s">
        <v>260</v>
      </c>
      <c r="F95" s="59" t="s">
        <v>267</v>
      </c>
      <c r="H95" s="66" t="s">
        <v>362</v>
      </c>
      <c r="I95" s="61" t="s">
        <v>249</v>
      </c>
      <c r="J95" s="62" t="s">
        <v>250</v>
      </c>
      <c r="K95" s="62" t="s">
        <v>248</v>
      </c>
      <c r="L95" s="67" t="s">
        <v>267</v>
      </c>
      <c r="M95">
        <v>1</v>
      </c>
    </row>
    <row r="96" spans="1:13" ht="16.5" thickBot="1" x14ac:dyDescent="0.3">
      <c r="A96" s="55" t="s">
        <v>363</v>
      </c>
      <c r="B96" s="74" t="s">
        <v>259</v>
      </c>
      <c r="C96" s="74" t="s">
        <v>257</v>
      </c>
      <c r="D96" s="75" t="s">
        <v>258</v>
      </c>
      <c r="E96" s="58" t="s">
        <v>260</v>
      </c>
      <c r="F96" s="59" t="s">
        <v>269</v>
      </c>
      <c r="H96" s="60" t="s">
        <v>363</v>
      </c>
      <c r="I96" s="61" t="s">
        <v>249</v>
      </c>
      <c r="J96" s="62" t="s">
        <v>250</v>
      </c>
      <c r="K96" s="62" t="s">
        <v>248</v>
      </c>
      <c r="L96" s="63" t="s">
        <v>269</v>
      </c>
      <c r="M96">
        <v>2</v>
      </c>
    </row>
    <row r="97" spans="1:13" ht="16.5" thickBot="1" x14ac:dyDescent="0.3">
      <c r="A97" s="55" t="s">
        <v>364</v>
      </c>
      <c r="B97" s="64" t="s">
        <v>265</v>
      </c>
      <c r="C97" s="64" t="s">
        <v>263</v>
      </c>
      <c r="D97" s="65" t="s">
        <v>264</v>
      </c>
      <c r="E97" s="58" t="s">
        <v>260</v>
      </c>
      <c r="F97" s="59" t="s">
        <v>271</v>
      </c>
      <c r="H97" s="66" t="s">
        <v>364</v>
      </c>
      <c r="I97" s="61" t="s">
        <v>248</v>
      </c>
      <c r="J97" s="62" t="s">
        <v>249</v>
      </c>
      <c r="K97" s="62" t="s">
        <v>250</v>
      </c>
      <c r="L97" s="67" t="s">
        <v>271</v>
      </c>
      <c r="M97">
        <v>1</v>
      </c>
    </row>
    <row r="98" spans="1:13" ht="16.5" thickBot="1" x14ac:dyDescent="0.3">
      <c r="A98" s="55" t="s">
        <v>365</v>
      </c>
      <c r="B98" s="74" t="s">
        <v>257</v>
      </c>
      <c r="C98" s="74" t="s">
        <v>258</v>
      </c>
      <c r="D98" s="75" t="s">
        <v>259</v>
      </c>
      <c r="E98" s="58" t="s">
        <v>260</v>
      </c>
      <c r="F98" s="59" t="s">
        <v>273</v>
      </c>
      <c r="H98" s="60" t="s">
        <v>365</v>
      </c>
      <c r="I98" s="61" t="s">
        <v>248</v>
      </c>
      <c r="J98" s="62" t="s">
        <v>249</v>
      </c>
      <c r="K98" s="62" t="s">
        <v>250</v>
      </c>
      <c r="L98" s="63" t="s">
        <v>273</v>
      </c>
      <c r="M98">
        <v>2</v>
      </c>
    </row>
    <row r="99" spans="1:13" ht="16.5" thickBot="1" x14ac:dyDescent="0.3">
      <c r="A99" s="55" t="s">
        <v>366</v>
      </c>
      <c r="B99" s="64" t="s">
        <v>263</v>
      </c>
      <c r="C99" s="64" t="s">
        <v>264</v>
      </c>
      <c r="D99" s="65" t="s">
        <v>265</v>
      </c>
      <c r="E99" s="58" t="s">
        <v>260</v>
      </c>
      <c r="F99" s="59" t="s">
        <v>275</v>
      </c>
      <c r="H99" s="66" t="s">
        <v>366</v>
      </c>
      <c r="I99" s="61" t="s">
        <v>250</v>
      </c>
      <c r="J99" s="62" t="s">
        <v>248</v>
      </c>
      <c r="K99" s="62" t="s">
        <v>249</v>
      </c>
      <c r="L99" s="67" t="s">
        <v>275</v>
      </c>
      <c r="M99">
        <v>1</v>
      </c>
    </row>
    <row r="100" spans="1:13" ht="16.5" thickBot="1" x14ac:dyDescent="0.3">
      <c r="A100" s="55" t="s">
        <v>367</v>
      </c>
      <c r="B100" s="74" t="s">
        <v>258</v>
      </c>
      <c r="C100" s="74" t="s">
        <v>259</v>
      </c>
      <c r="D100" s="75" t="s">
        <v>257</v>
      </c>
      <c r="E100" s="58" t="s">
        <v>260</v>
      </c>
      <c r="F100" s="59" t="s">
        <v>261</v>
      </c>
      <c r="H100" s="60" t="s">
        <v>367</v>
      </c>
      <c r="I100" s="61" t="s">
        <v>250</v>
      </c>
      <c r="J100" s="62" t="s">
        <v>248</v>
      </c>
      <c r="K100" s="62" t="s">
        <v>249</v>
      </c>
      <c r="L100" s="63" t="s">
        <v>261</v>
      </c>
      <c r="M100">
        <v>2</v>
      </c>
    </row>
    <row r="101" spans="1:13" ht="16.5" thickBot="1" x14ac:dyDescent="0.3">
      <c r="A101" s="55" t="s">
        <v>368</v>
      </c>
      <c r="B101" s="76" t="s">
        <v>264</v>
      </c>
      <c r="C101" s="76" t="s">
        <v>265</v>
      </c>
      <c r="D101" s="77" t="s">
        <v>263</v>
      </c>
      <c r="E101" s="58" t="s">
        <v>260</v>
      </c>
      <c r="F101" s="59" t="s">
        <v>245</v>
      </c>
      <c r="H101" s="66" t="s">
        <v>368</v>
      </c>
      <c r="I101" s="61" t="s">
        <v>249</v>
      </c>
      <c r="J101" s="62" t="s">
        <v>250</v>
      </c>
      <c r="K101" s="62" t="s">
        <v>248</v>
      </c>
      <c r="L101" s="67" t="s">
        <v>245</v>
      </c>
      <c r="M101">
        <v>1</v>
      </c>
    </row>
    <row r="102" spans="1:13" ht="16.5" thickBot="1" x14ac:dyDescent="0.3">
      <c r="A102" s="55" t="s">
        <v>369</v>
      </c>
      <c r="B102" s="74" t="s">
        <v>259</v>
      </c>
      <c r="C102" s="74" t="s">
        <v>257</v>
      </c>
      <c r="D102" s="75" t="s">
        <v>258</v>
      </c>
      <c r="E102" s="58" t="s">
        <v>260</v>
      </c>
      <c r="F102" s="59" t="s">
        <v>267</v>
      </c>
      <c r="H102" s="60" t="s">
        <v>369</v>
      </c>
      <c r="I102" s="61" t="s">
        <v>249</v>
      </c>
      <c r="J102" s="62" t="s">
        <v>250</v>
      </c>
      <c r="K102" s="62" t="s">
        <v>248</v>
      </c>
      <c r="L102" s="63" t="s">
        <v>267</v>
      </c>
      <c r="M102">
        <v>2</v>
      </c>
    </row>
    <row r="103" spans="1:13" ht="16.5" thickBot="1" x14ac:dyDescent="0.3">
      <c r="A103" s="55" t="s">
        <v>370</v>
      </c>
      <c r="B103" s="64" t="s">
        <v>265</v>
      </c>
      <c r="C103" s="64" t="s">
        <v>263</v>
      </c>
      <c r="D103" s="65" t="s">
        <v>264</v>
      </c>
      <c r="E103" s="58" t="s">
        <v>260</v>
      </c>
      <c r="F103" s="59" t="s">
        <v>269</v>
      </c>
      <c r="H103" s="66" t="s">
        <v>370</v>
      </c>
      <c r="I103" s="61" t="s">
        <v>248</v>
      </c>
      <c r="J103" s="62" t="s">
        <v>249</v>
      </c>
      <c r="K103" s="62" t="s">
        <v>250</v>
      </c>
      <c r="L103" s="67" t="s">
        <v>269</v>
      </c>
      <c r="M103">
        <v>1</v>
      </c>
    </row>
    <row r="104" spans="1:13" ht="16.5" thickBot="1" x14ac:dyDescent="0.3">
      <c r="A104" s="55" t="s">
        <v>371</v>
      </c>
      <c r="B104" s="74" t="s">
        <v>257</v>
      </c>
      <c r="C104" s="74" t="s">
        <v>258</v>
      </c>
      <c r="D104" s="75" t="s">
        <v>259</v>
      </c>
      <c r="E104" s="58" t="s">
        <v>260</v>
      </c>
      <c r="F104" s="59" t="s">
        <v>271</v>
      </c>
      <c r="H104" s="60" t="s">
        <v>371</v>
      </c>
      <c r="I104" s="61" t="s">
        <v>248</v>
      </c>
      <c r="J104" s="62" t="s">
        <v>249</v>
      </c>
      <c r="K104" s="62" t="s">
        <v>250</v>
      </c>
      <c r="L104" s="63" t="s">
        <v>271</v>
      </c>
      <c r="M104">
        <v>2</v>
      </c>
    </row>
    <row r="105" spans="1:13" ht="16.5" thickBot="1" x14ac:dyDescent="0.3">
      <c r="A105" s="55" t="s">
        <v>372</v>
      </c>
      <c r="B105" s="64" t="s">
        <v>263</v>
      </c>
      <c r="C105" s="64" t="s">
        <v>264</v>
      </c>
      <c r="D105" s="65" t="s">
        <v>265</v>
      </c>
      <c r="E105" s="58" t="s">
        <v>260</v>
      </c>
      <c r="F105" s="59" t="s">
        <v>273</v>
      </c>
      <c r="H105" s="66" t="s">
        <v>372</v>
      </c>
      <c r="I105" s="61" t="s">
        <v>250</v>
      </c>
      <c r="J105" s="62" t="s">
        <v>248</v>
      </c>
      <c r="K105" s="62" t="s">
        <v>249</v>
      </c>
      <c r="L105" s="67" t="s">
        <v>273</v>
      </c>
      <c r="M105">
        <v>1</v>
      </c>
    </row>
    <row r="106" spans="1:13" ht="16.5" thickBot="1" x14ac:dyDescent="0.3">
      <c r="A106" s="55" t="s">
        <v>373</v>
      </c>
      <c r="B106" s="74" t="s">
        <v>258</v>
      </c>
      <c r="C106" s="74" t="s">
        <v>259</v>
      </c>
      <c r="D106" s="75" t="s">
        <v>257</v>
      </c>
      <c r="E106" s="58" t="s">
        <v>260</v>
      </c>
      <c r="F106" s="59" t="s">
        <v>275</v>
      </c>
      <c r="H106" s="60" t="s">
        <v>373</v>
      </c>
      <c r="I106" s="61" t="s">
        <v>250</v>
      </c>
      <c r="J106" s="62" t="s">
        <v>248</v>
      </c>
      <c r="K106" s="62" t="s">
        <v>249</v>
      </c>
      <c r="L106" s="63" t="s">
        <v>275</v>
      </c>
      <c r="M106">
        <v>2</v>
      </c>
    </row>
    <row r="107" spans="1:13" ht="16.5" thickBot="1" x14ac:dyDescent="0.3">
      <c r="A107" s="55" t="s">
        <v>374</v>
      </c>
      <c r="B107" s="76" t="s">
        <v>264</v>
      </c>
      <c r="C107" s="76" t="s">
        <v>265</v>
      </c>
      <c r="D107" s="77" t="s">
        <v>263</v>
      </c>
      <c r="E107" s="58" t="s">
        <v>260</v>
      </c>
      <c r="F107" s="59" t="s">
        <v>261</v>
      </c>
      <c r="H107" s="66" t="s">
        <v>374</v>
      </c>
      <c r="I107" s="61" t="s">
        <v>249</v>
      </c>
      <c r="J107" s="62" t="s">
        <v>250</v>
      </c>
      <c r="K107" s="62" t="s">
        <v>248</v>
      </c>
      <c r="L107" s="67" t="s">
        <v>261</v>
      </c>
      <c r="M107">
        <v>1</v>
      </c>
    </row>
    <row r="108" spans="1:13" ht="16.5" thickBot="1" x14ac:dyDescent="0.3">
      <c r="A108" s="55" t="s">
        <v>375</v>
      </c>
      <c r="B108" s="74" t="s">
        <v>259</v>
      </c>
      <c r="C108" s="74" t="s">
        <v>257</v>
      </c>
      <c r="D108" s="75" t="s">
        <v>258</v>
      </c>
      <c r="E108" s="58" t="s">
        <v>260</v>
      </c>
      <c r="F108" s="59" t="s">
        <v>245</v>
      </c>
      <c r="H108" s="60" t="s">
        <v>375</v>
      </c>
      <c r="I108" s="61" t="s">
        <v>249</v>
      </c>
      <c r="J108" s="62" t="s">
        <v>250</v>
      </c>
      <c r="K108" s="62" t="s">
        <v>248</v>
      </c>
      <c r="L108" s="63" t="s">
        <v>245</v>
      </c>
      <c r="M108">
        <v>1</v>
      </c>
    </row>
    <row r="109" spans="1:13" ht="16.5" thickBot="1" x14ac:dyDescent="0.3">
      <c r="A109" s="55" t="s">
        <v>376</v>
      </c>
      <c r="B109" s="64" t="s">
        <v>265</v>
      </c>
      <c r="C109" s="64" t="s">
        <v>263</v>
      </c>
      <c r="D109" s="65" t="s">
        <v>264</v>
      </c>
      <c r="E109" s="58" t="s">
        <v>260</v>
      </c>
      <c r="F109" s="59" t="s">
        <v>267</v>
      </c>
      <c r="H109" s="66" t="s">
        <v>376</v>
      </c>
      <c r="I109" s="61" t="s">
        <v>248</v>
      </c>
      <c r="J109" s="62" t="s">
        <v>249</v>
      </c>
      <c r="K109" s="62" t="s">
        <v>250</v>
      </c>
      <c r="L109" s="67" t="s">
        <v>267</v>
      </c>
      <c r="M109">
        <v>2</v>
      </c>
    </row>
    <row r="110" spans="1:13" ht="16.5" thickBot="1" x14ac:dyDescent="0.3">
      <c r="A110" s="55" t="s">
        <v>377</v>
      </c>
      <c r="B110" s="74" t="s">
        <v>257</v>
      </c>
      <c r="C110" s="74" t="s">
        <v>258</v>
      </c>
      <c r="D110" s="75" t="s">
        <v>259</v>
      </c>
      <c r="E110" s="58" t="s">
        <v>260</v>
      </c>
      <c r="F110" s="59" t="s">
        <v>269</v>
      </c>
      <c r="H110" s="60" t="s">
        <v>377</v>
      </c>
      <c r="I110" s="61" t="s">
        <v>248</v>
      </c>
      <c r="J110" s="62" t="s">
        <v>249</v>
      </c>
      <c r="K110" s="62" t="s">
        <v>250</v>
      </c>
      <c r="L110" s="63" t="s">
        <v>269</v>
      </c>
      <c r="M110">
        <v>1</v>
      </c>
    </row>
    <row r="111" spans="1:13" ht="16.5" thickBot="1" x14ac:dyDescent="0.3">
      <c r="A111" s="55" t="s">
        <v>378</v>
      </c>
      <c r="B111" s="64" t="s">
        <v>263</v>
      </c>
      <c r="C111" s="64" t="s">
        <v>264</v>
      </c>
      <c r="D111" s="65" t="s">
        <v>265</v>
      </c>
      <c r="E111" s="58" t="s">
        <v>260</v>
      </c>
      <c r="F111" s="59" t="s">
        <v>271</v>
      </c>
      <c r="H111" s="66" t="s">
        <v>378</v>
      </c>
      <c r="I111" s="61" t="s">
        <v>250</v>
      </c>
      <c r="J111" s="62" t="s">
        <v>248</v>
      </c>
      <c r="K111" s="62" t="s">
        <v>249</v>
      </c>
      <c r="L111" s="67" t="s">
        <v>271</v>
      </c>
      <c r="M111">
        <v>2</v>
      </c>
    </row>
    <row r="112" spans="1:13" ht="16.5" thickBot="1" x14ac:dyDescent="0.3">
      <c r="A112" s="55" t="s">
        <v>379</v>
      </c>
      <c r="B112" s="74" t="s">
        <v>258</v>
      </c>
      <c r="C112" s="74" t="s">
        <v>259</v>
      </c>
      <c r="D112" s="75" t="s">
        <v>257</v>
      </c>
      <c r="E112" s="58" t="s">
        <v>260</v>
      </c>
      <c r="F112" s="59" t="s">
        <v>273</v>
      </c>
      <c r="H112" s="60" t="s">
        <v>379</v>
      </c>
      <c r="I112" s="61" t="s">
        <v>250</v>
      </c>
      <c r="J112" s="62" t="s">
        <v>248</v>
      </c>
      <c r="K112" s="62" t="s">
        <v>249</v>
      </c>
      <c r="L112" s="63" t="s">
        <v>273</v>
      </c>
      <c r="M112">
        <v>1</v>
      </c>
    </row>
    <row r="113" spans="1:13" ht="16.5" thickBot="1" x14ac:dyDescent="0.3">
      <c r="A113" s="55" t="s">
        <v>380</v>
      </c>
      <c r="B113" s="76" t="s">
        <v>264</v>
      </c>
      <c r="C113" s="76" t="s">
        <v>265</v>
      </c>
      <c r="D113" s="77" t="s">
        <v>263</v>
      </c>
      <c r="E113" s="58" t="s">
        <v>260</v>
      </c>
      <c r="F113" s="59" t="s">
        <v>275</v>
      </c>
      <c r="H113" s="66" t="s">
        <v>380</v>
      </c>
      <c r="I113" s="61" t="s">
        <v>249</v>
      </c>
      <c r="J113" s="62" t="s">
        <v>250</v>
      </c>
      <c r="K113" s="62" t="s">
        <v>248</v>
      </c>
      <c r="L113" s="67" t="s">
        <v>275</v>
      </c>
      <c r="M113">
        <v>2</v>
      </c>
    </row>
    <row r="114" spans="1:13" ht="16.5" thickBot="1" x14ac:dyDescent="0.3">
      <c r="A114" s="55" t="s">
        <v>381</v>
      </c>
      <c r="B114" s="74" t="s">
        <v>259</v>
      </c>
      <c r="C114" s="74" t="s">
        <v>257</v>
      </c>
      <c r="D114" s="75" t="s">
        <v>258</v>
      </c>
      <c r="E114" s="58" t="s">
        <v>260</v>
      </c>
      <c r="F114" s="59" t="s">
        <v>261</v>
      </c>
      <c r="H114" s="60" t="s">
        <v>381</v>
      </c>
      <c r="I114" s="61" t="s">
        <v>249</v>
      </c>
      <c r="J114" s="62" t="s">
        <v>250</v>
      </c>
      <c r="K114" s="62" t="s">
        <v>248</v>
      </c>
      <c r="L114" s="63" t="s">
        <v>261</v>
      </c>
      <c r="M114">
        <v>1</v>
      </c>
    </row>
    <row r="115" spans="1:13" ht="16.5" thickBot="1" x14ac:dyDescent="0.3">
      <c r="A115" s="55" t="s">
        <v>382</v>
      </c>
      <c r="B115" s="64" t="s">
        <v>265</v>
      </c>
      <c r="C115" s="64" t="s">
        <v>263</v>
      </c>
      <c r="D115" s="65" t="s">
        <v>264</v>
      </c>
      <c r="E115" s="58" t="s">
        <v>260</v>
      </c>
      <c r="F115" s="59" t="s">
        <v>245</v>
      </c>
      <c r="H115" s="66" t="s">
        <v>382</v>
      </c>
      <c r="I115" s="61" t="s">
        <v>248</v>
      </c>
      <c r="J115" s="62" t="s">
        <v>249</v>
      </c>
      <c r="K115" s="62" t="s">
        <v>250</v>
      </c>
      <c r="L115" s="67" t="s">
        <v>245</v>
      </c>
      <c r="M115">
        <v>2</v>
      </c>
    </row>
    <row r="116" spans="1:13" ht="16.5" thickBot="1" x14ac:dyDescent="0.3">
      <c r="A116" s="55" t="s">
        <v>383</v>
      </c>
      <c r="B116" s="74" t="s">
        <v>257</v>
      </c>
      <c r="C116" s="74" t="s">
        <v>258</v>
      </c>
      <c r="D116" s="75" t="s">
        <v>259</v>
      </c>
      <c r="E116" s="58" t="s">
        <v>260</v>
      </c>
      <c r="F116" s="59" t="s">
        <v>267</v>
      </c>
      <c r="H116" s="60" t="s">
        <v>383</v>
      </c>
      <c r="I116" s="61" t="s">
        <v>248</v>
      </c>
      <c r="J116" s="62" t="s">
        <v>249</v>
      </c>
      <c r="K116" s="62" t="s">
        <v>250</v>
      </c>
      <c r="L116" s="63" t="s">
        <v>267</v>
      </c>
      <c r="M116">
        <v>1</v>
      </c>
    </row>
    <row r="117" spans="1:13" ht="16.5" thickBot="1" x14ac:dyDescent="0.3">
      <c r="A117" s="55" t="s">
        <v>384</v>
      </c>
      <c r="B117" s="64" t="s">
        <v>263</v>
      </c>
      <c r="C117" s="64" t="s">
        <v>264</v>
      </c>
      <c r="D117" s="65" t="s">
        <v>265</v>
      </c>
      <c r="E117" s="58" t="s">
        <v>260</v>
      </c>
      <c r="F117" s="59" t="s">
        <v>269</v>
      </c>
      <c r="H117" s="66" t="s">
        <v>384</v>
      </c>
      <c r="I117" s="61" t="s">
        <v>250</v>
      </c>
      <c r="J117" s="62" t="s">
        <v>248</v>
      </c>
      <c r="K117" s="62" t="s">
        <v>249</v>
      </c>
      <c r="L117" s="67" t="s">
        <v>269</v>
      </c>
      <c r="M117">
        <v>2</v>
      </c>
    </row>
    <row r="118" spans="1:13" ht="16.5" thickBot="1" x14ac:dyDescent="0.3">
      <c r="A118" s="55" t="s">
        <v>385</v>
      </c>
      <c r="B118" s="74" t="s">
        <v>258</v>
      </c>
      <c r="C118" s="74" t="s">
        <v>259</v>
      </c>
      <c r="D118" s="75" t="s">
        <v>257</v>
      </c>
      <c r="E118" s="58" t="s">
        <v>260</v>
      </c>
      <c r="F118" s="59" t="s">
        <v>271</v>
      </c>
      <c r="H118" s="60" t="s">
        <v>385</v>
      </c>
      <c r="I118" s="61" t="s">
        <v>250</v>
      </c>
      <c r="J118" s="62" t="s">
        <v>248</v>
      </c>
      <c r="K118" s="62" t="s">
        <v>249</v>
      </c>
      <c r="L118" s="63" t="s">
        <v>271</v>
      </c>
      <c r="M118">
        <v>1</v>
      </c>
    </row>
    <row r="119" spans="1:13" ht="16.5" thickBot="1" x14ac:dyDescent="0.3">
      <c r="A119" s="55" t="s">
        <v>386</v>
      </c>
      <c r="B119" s="76" t="s">
        <v>264</v>
      </c>
      <c r="C119" s="76" t="s">
        <v>265</v>
      </c>
      <c r="D119" s="77" t="s">
        <v>263</v>
      </c>
      <c r="E119" s="58" t="s">
        <v>260</v>
      </c>
      <c r="F119" s="59" t="s">
        <v>273</v>
      </c>
      <c r="H119" s="66" t="s">
        <v>386</v>
      </c>
      <c r="I119" s="61" t="s">
        <v>249</v>
      </c>
      <c r="J119" s="62" t="s">
        <v>250</v>
      </c>
      <c r="K119" s="62" t="s">
        <v>248</v>
      </c>
      <c r="L119" s="67" t="s">
        <v>273</v>
      </c>
      <c r="M119">
        <v>2</v>
      </c>
    </row>
    <row r="120" spans="1:13" ht="16.5" thickBot="1" x14ac:dyDescent="0.3">
      <c r="A120" s="55" t="s">
        <v>387</v>
      </c>
      <c r="B120" s="74" t="s">
        <v>259</v>
      </c>
      <c r="C120" s="74" t="s">
        <v>257</v>
      </c>
      <c r="D120" s="75" t="s">
        <v>258</v>
      </c>
      <c r="E120" s="58" t="s">
        <v>260</v>
      </c>
      <c r="F120" s="59" t="s">
        <v>275</v>
      </c>
      <c r="H120" s="60" t="s">
        <v>387</v>
      </c>
      <c r="I120" s="61" t="s">
        <v>249</v>
      </c>
      <c r="J120" s="62" t="s">
        <v>250</v>
      </c>
      <c r="K120" s="62" t="s">
        <v>248</v>
      </c>
      <c r="L120" s="63" t="s">
        <v>275</v>
      </c>
      <c r="M120">
        <v>1</v>
      </c>
    </row>
    <row r="121" spans="1:13" ht="16.5" thickBot="1" x14ac:dyDescent="0.3">
      <c r="A121" s="55" t="s">
        <v>388</v>
      </c>
      <c r="B121" s="64" t="s">
        <v>265</v>
      </c>
      <c r="C121" s="64" t="s">
        <v>263</v>
      </c>
      <c r="D121" s="65" t="s">
        <v>264</v>
      </c>
      <c r="E121" s="58" t="s">
        <v>260</v>
      </c>
      <c r="F121" s="59" t="s">
        <v>261</v>
      </c>
      <c r="H121" s="66" t="s">
        <v>388</v>
      </c>
      <c r="I121" s="61" t="s">
        <v>248</v>
      </c>
      <c r="J121" s="62" t="s">
        <v>249</v>
      </c>
      <c r="K121" s="62" t="s">
        <v>250</v>
      </c>
      <c r="L121" s="67" t="s">
        <v>261</v>
      </c>
      <c r="M121">
        <v>2</v>
      </c>
    </row>
    <row r="122" spans="1:13" ht="16.5" thickBot="1" x14ac:dyDescent="0.3">
      <c r="A122" s="55" t="s">
        <v>389</v>
      </c>
      <c r="B122" s="74" t="s">
        <v>257</v>
      </c>
      <c r="C122" s="74" t="s">
        <v>258</v>
      </c>
      <c r="D122" s="75" t="s">
        <v>259</v>
      </c>
      <c r="E122" s="58" t="s">
        <v>260</v>
      </c>
      <c r="F122" s="59" t="s">
        <v>245</v>
      </c>
      <c r="H122" s="60" t="s">
        <v>389</v>
      </c>
      <c r="I122" s="61" t="s">
        <v>248</v>
      </c>
      <c r="J122" s="62" t="s">
        <v>249</v>
      </c>
      <c r="K122" s="62" t="s">
        <v>250</v>
      </c>
      <c r="L122" s="63" t="s">
        <v>245</v>
      </c>
      <c r="M122">
        <v>1</v>
      </c>
    </row>
    <row r="123" spans="1:13" ht="16.5" thickBot="1" x14ac:dyDescent="0.3">
      <c r="A123" s="55" t="s">
        <v>390</v>
      </c>
      <c r="B123" s="64" t="s">
        <v>263</v>
      </c>
      <c r="C123" s="64" t="s">
        <v>264</v>
      </c>
      <c r="D123" s="65" t="s">
        <v>265</v>
      </c>
      <c r="E123" s="58" t="s">
        <v>260</v>
      </c>
      <c r="F123" s="59" t="s">
        <v>267</v>
      </c>
      <c r="H123" s="66" t="s">
        <v>390</v>
      </c>
      <c r="I123" s="61" t="s">
        <v>250</v>
      </c>
      <c r="J123" s="62" t="s">
        <v>248</v>
      </c>
      <c r="K123" s="62" t="s">
        <v>249</v>
      </c>
      <c r="L123" s="67" t="s">
        <v>267</v>
      </c>
      <c r="M123">
        <v>1</v>
      </c>
    </row>
    <row r="124" spans="1:13" ht="16.5" thickBot="1" x14ac:dyDescent="0.3">
      <c r="A124" s="55" t="s">
        <v>391</v>
      </c>
      <c r="B124" s="74" t="s">
        <v>258</v>
      </c>
      <c r="C124" s="74" t="s">
        <v>259</v>
      </c>
      <c r="D124" s="75" t="s">
        <v>257</v>
      </c>
      <c r="E124" s="58" t="s">
        <v>260</v>
      </c>
      <c r="F124" s="59" t="s">
        <v>269</v>
      </c>
      <c r="H124" s="60" t="s">
        <v>391</v>
      </c>
      <c r="I124" s="61" t="s">
        <v>250</v>
      </c>
      <c r="J124" s="62" t="s">
        <v>248</v>
      </c>
      <c r="K124" s="62" t="s">
        <v>249</v>
      </c>
      <c r="L124" s="63" t="s">
        <v>269</v>
      </c>
      <c r="M124">
        <v>2</v>
      </c>
    </row>
    <row r="125" spans="1:13" ht="16.5" thickBot="1" x14ac:dyDescent="0.3">
      <c r="A125" s="55" t="s">
        <v>392</v>
      </c>
      <c r="B125" s="76" t="s">
        <v>264</v>
      </c>
      <c r="C125" s="76" t="s">
        <v>265</v>
      </c>
      <c r="D125" s="77" t="s">
        <v>263</v>
      </c>
      <c r="E125" s="58" t="s">
        <v>260</v>
      </c>
      <c r="F125" s="59" t="s">
        <v>271</v>
      </c>
      <c r="H125" s="66" t="s">
        <v>392</v>
      </c>
      <c r="I125" s="61" t="s">
        <v>249</v>
      </c>
      <c r="J125" s="62" t="s">
        <v>250</v>
      </c>
      <c r="K125" s="62" t="s">
        <v>248</v>
      </c>
      <c r="L125" s="67" t="s">
        <v>271</v>
      </c>
      <c r="M125">
        <v>1</v>
      </c>
    </row>
    <row r="126" spans="1:13" ht="16.5" thickBot="1" x14ac:dyDescent="0.3">
      <c r="A126" s="55" t="s">
        <v>393</v>
      </c>
      <c r="B126" s="74" t="s">
        <v>259</v>
      </c>
      <c r="C126" s="74" t="s">
        <v>257</v>
      </c>
      <c r="D126" s="75" t="s">
        <v>258</v>
      </c>
      <c r="E126" s="58" t="s">
        <v>260</v>
      </c>
      <c r="F126" s="59" t="s">
        <v>273</v>
      </c>
      <c r="H126" s="60" t="s">
        <v>393</v>
      </c>
      <c r="I126" s="61" t="s">
        <v>249</v>
      </c>
      <c r="J126" s="62" t="s">
        <v>250</v>
      </c>
      <c r="K126" s="62" t="s">
        <v>248</v>
      </c>
      <c r="L126" s="63" t="s">
        <v>273</v>
      </c>
      <c r="M126">
        <v>2</v>
      </c>
    </row>
    <row r="127" spans="1:13" ht="16.5" thickBot="1" x14ac:dyDescent="0.3">
      <c r="A127" s="55" t="s">
        <v>394</v>
      </c>
      <c r="B127" s="64" t="s">
        <v>265</v>
      </c>
      <c r="C127" s="64" t="s">
        <v>263</v>
      </c>
      <c r="D127" s="65" t="s">
        <v>264</v>
      </c>
      <c r="E127" s="58" t="s">
        <v>260</v>
      </c>
      <c r="F127" s="59" t="s">
        <v>275</v>
      </c>
      <c r="H127" s="66" t="s">
        <v>394</v>
      </c>
      <c r="I127" s="61" t="s">
        <v>248</v>
      </c>
      <c r="J127" s="62" t="s">
        <v>249</v>
      </c>
      <c r="K127" s="62" t="s">
        <v>250</v>
      </c>
      <c r="L127" s="67" t="s">
        <v>275</v>
      </c>
      <c r="M127">
        <v>1</v>
      </c>
    </row>
    <row r="128" spans="1:13" ht="16.5" thickBot="1" x14ac:dyDescent="0.3">
      <c r="A128" s="55" t="s">
        <v>395</v>
      </c>
      <c r="B128" s="74" t="s">
        <v>257</v>
      </c>
      <c r="C128" s="74" t="s">
        <v>258</v>
      </c>
      <c r="D128" s="75" t="s">
        <v>259</v>
      </c>
      <c r="E128" s="58" t="s">
        <v>260</v>
      </c>
      <c r="F128" s="59" t="s">
        <v>261</v>
      </c>
      <c r="H128" s="60" t="s">
        <v>395</v>
      </c>
      <c r="I128" s="61" t="s">
        <v>248</v>
      </c>
      <c r="J128" s="62" t="s">
        <v>249</v>
      </c>
      <c r="K128" s="62" t="s">
        <v>250</v>
      </c>
      <c r="L128" s="63" t="s">
        <v>261</v>
      </c>
      <c r="M128">
        <v>2</v>
      </c>
    </row>
    <row r="129" spans="1:13" ht="16.5" thickBot="1" x14ac:dyDescent="0.3">
      <c r="A129" s="55" t="s">
        <v>396</v>
      </c>
      <c r="B129" s="64" t="s">
        <v>263</v>
      </c>
      <c r="C129" s="64" t="s">
        <v>264</v>
      </c>
      <c r="D129" s="65" t="s">
        <v>265</v>
      </c>
      <c r="E129" s="58" t="s">
        <v>260</v>
      </c>
      <c r="F129" s="59" t="s">
        <v>245</v>
      </c>
      <c r="H129" s="66" t="s">
        <v>396</v>
      </c>
      <c r="I129" s="61" t="s">
        <v>250</v>
      </c>
      <c r="J129" s="62" t="s">
        <v>248</v>
      </c>
      <c r="K129" s="62" t="s">
        <v>249</v>
      </c>
      <c r="L129" s="67" t="s">
        <v>245</v>
      </c>
      <c r="M129">
        <v>1</v>
      </c>
    </row>
    <row r="130" spans="1:13" ht="16.5" thickBot="1" x14ac:dyDescent="0.3">
      <c r="A130" s="55" t="s">
        <v>397</v>
      </c>
      <c r="B130" s="74" t="s">
        <v>258</v>
      </c>
      <c r="C130" s="74" t="s">
        <v>259</v>
      </c>
      <c r="D130" s="75" t="s">
        <v>257</v>
      </c>
      <c r="E130" s="58" t="s">
        <v>260</v>
      </c>
      <c r="F130" s="59" t="s">
        <v>267</v>
      </c>
      <c r="H130" s="60" t="s">
        <v>397</v>
      </c>
      <c r="I130" s="61" t="s">
        <v>250</v>
      </c>
      <c r="J130" s="62" t="s">
        <v>248</v>
      </c>
      <c r="K130" s="62" t="s">
        <v>249</v>
      </c>
      <c r="L130" s="63" t="s">
        <v>267</v>
      </c>
      <c r="M130">
        <v>2</v>
      </c>
    </row>
    <row r="131" spans="1:13" ht="16.5" thickBot="1" x14ac:dyDescent="0.3">
      <c r="A131" s="55" t="s">
        <v>398</v>
      </c>
      <c r="B131" s="76" t="s">
        <v>264</v>
      </c>
      <c r="C131" s="76" t="s">
        <v>265</v>
      </c>
      <c r="D131" s="77" t="s">
        <v>263</v>
      </c>
      <c r="E131" s="58" t="s">
        <v>260</v>
      </c>
      <c r="F131" s="59" t="s">
        <v>269</v>
      </c>
      <c r="H131" s="66" t="s">
        <v>398</v>
      </c>
      <c r="I131" s="61" t="s">
        <v>249</v>
      </c>
      <c r="J131" s="62" t="s">
        <v>250</v>
      </c>
      <c r="K131" s="62" t="s">
        <v>248</v>
      </c>
      <c r="L131" s="67" t="s">
        <v>269</v>
      </c>
      <c r="M131">
        <v>1</v>
      </c>
    </row>
    <row r="132" spans="1:13" ht="16.5" thickBot="1" x14ac:dyDescent="0.3">
      <c r="A132" s="55" t="s">
        <v>399</v>
      </c>
      <c r="B132" s="74" t="s">
        <v>259</v>
      </c>
      <c r="C132" s="74" t="s">
        <v>257</v>
      </c>
      <c r="D132" s="75" t="s">
        <v>258</v>
      </c>
      <c r="E132" s="58" t="s">
        <v>260</v>
      </c>
      <c r="F132" s="59" t="s">
        <v>271</v>
      </c>
      <c r="H132" s="60" t="s">
        <v>399</v>
      </c>
      <c r="I132" s="61" t="s">
        <v>249</v>
      </c>
      <c r="J132" s="62" t="s">
        <v>250</v>
      </c>
      <c r="K132" s="62" t="s">
        <v>248</v>
      </c>
      <c r="L132" s="63" t="s">
        <v>271</v>
      </c>
      <c r="M132">
        <v>2</v>
      </c>
    </row>
    <row r="133" spans="1:13" ht="16.5" thickBot="1" x14ac:dyDescent="0.3">
      <c r="A133" s="55" t="s">
        <v>400</v>
      </c>
      <c r="B133" s="64" t="s">
        <v>265</v>
      </c>
      <c r="C133" s="64" t="s">
        <v>263</v>
      </c>
      <c r="D133" s="65" t="s">
        <v>264</v>
      </c>
      <c r="E133" s="58" t="s">
        <v>260</v>
      </c>
      <c r="F133" s="59" t="s">
        <v>273</v>
      </c>
      <c r="H133" s="66" t="s">
        <v>400</v>
      </c>
      <c r="I133" s="61" t="s">
        <v>248</v>
      </c>
      <c r="J133" s="62" t="s">
        <v>249</v>
      </c>
      <c r="K133" s="62" t="s">
        <v>250</v>
      </c>
      <c r="L133" s="67" t="s">
        <v>273</v>
      </c>
      <c r="M133">
        <v>1</v>
      </c>
    </row>
    <row r="134" spans="1:13" ht="16.5" thickBot="1" x14ac:dyDescent="0.3">
      <c r="A134" s="55" t="s">
        <v>401</v>
      </c>
      <c r="B134" s="74" t="s">
        <v>257</v>
      </c>
      <c r="C134" s="74" t="s">
        <v>258</v>
      </c>
      <c r="D134" s="75" t="s">
        <v>259</v>
      </c>
      <c r="E134" s="58" t="s">
        <v>260</v>
      </c>
      <c r="F134" s="59" t="s">
        <v>275</v>
      </c>
      <c r="H134" s="60" t="s">
        <v>401</v>
      </c>
      <c r="I134" s="61" t="s">
        <v>248</v>
      </c>
      <c r="J134" s="62" t="s">
        <v>249</v>
      </c>
      <c r="K134" s="62" t="s">
        <v>250</v>
      </c>
      <c r="L134" s="63" t="s">
        <v>275</v>
      </c>
      <c r="M134">
        <v>2</v>
      </c>
    </row>
    <row r="135" spans="1:13" ht="16.5" thickBot="1" x14ac:dyDescent="0.3">
      <c r="A135" s="55" t="s">
        <v>402</v>
      </c>
      <c r="B135" s="64" t="s">
        <v>263</v>
      </c>
      <c r="C135" s="64" t="s">
        <v>264</v>
      </c>
      <c r="D135" s="65" t="s">
        <v>265</v>
      </c>
      <c r="E135" s="58" t="s">
        <v>260</v>
      </c>
      <c r="F135" s="59" t="s">
        <v>261</v>
      </c>
      <c r="H135" s="66" t="s">
        <v>402</v>
      </c>
      <c r="I135" s="61" t="s">
        <v>250</v>
      </c>
      <c r="J135" s="62" t="s">
        <v>248</v>
      </c>
      <c r="K135" s="62" t="s">
        <v>249</v>
      </c>
      <c r="L135" s="67" t="s">
        <v>261</v>
      </c>
      <c r="M135">
        <v>1</v>
      </c>
    </row>
    <row r="136" spans="1:13" ht="16.5" thickBot="1" x14ac:dyDescent="0.3">
      <c r="A136" s="55" t="s">
        <v>403</v>
      </c>
      <c r="B136" s="74" t="s">
        <v>258</v>
      </c>
      <c r="C136" s="74" t="s">
        <v>259</v>
      </c>
      <c r="D136" s="75" t="s">
        <v>257</v>
      </c>
      <c r="E136" s="58" t="s">
        <v>260</v>
      </c>
      <c r="F136" s="59" t="s">
        <v>245</v>
      </c>
      <c r="H136" s="60" t="s">
        <v>403</v>
      </c>
      <c r="I136" s="61" t="s">
        <v>250</v>
      </c>
      <c r="J136" s="62" t="s">
        <v>248</v>
      </c>
      <c r="K136" s="62" t="s">
        <v>249</v>
      </c>
      <c r="L136" s="63" t="s">
        <v>245</v>
      </c>
      <c r="M136">
        <v>2</v>
      </c>
    </row>
    <row r="137" spans="1:13" ht="16.5" thickBot="1" x14ac:dyDescent="0.3">
      <c r="A137" s="55" t="s">
        <v>404</v>
      </c>
      <c r="B137" s="76" t="s">
        <v>264</v>
      </c>
      <c r="C137" s="76" t="s">
        <v>265</v>
      </c>
      <c r="D137" s="77" t="s">
        <v>263</v>
      </c>
      <c r="E137" s="58" t="s">
        <v>260</v>
      </c>
      <c r="F137" s="59" t="s">
        <v>267</v>
      </c>
      <c r="H137" s="66" t="s">
        <v>404</v>
      </c>
      <c r="I137" s="61" t="s">
        <v>249</v>
      </c>
      <c r="J137" s="62" t="s">
        <v>250</v>
      </c>
      <c r="K137" s="62" t="s">
        <v>248</v>
      </c>
      <c r="L137" s="67" t="s">
        <v>267</v>
      </c>
      <c r="M137">
        <v>1</v>
      </c>
    </row>
    <row r="138" spans="1:13" ht="16.5" thickBot="1" x14ac:dyDescent="0.3">
      <c r="A138" s="55" t="s">
        <v>405</v>
      </c>
      <c r="B138" s="74" t="s">
        <v>259</v>
      </c>
      <c r="C138" s="74" t="s">
        <v>257</v>
      </c>
      <c r="D138" s="75" t="s">
        <v>258</v>
      </c>
      <c r="E138" s="58" t="s">
        <v>260</v>
      </c>
      <c r="F138" s="59" t="s">
        <v>269</v>
      </c>
      <c r="H138" s="60" t="s">
        <v>405</v>
      </c>
      <c r="I138" s="61" t="s">
        <v>249</v>
      </c>
      <c r="J138" s="62" t="s">
        <v>250</v>
      </c>
      <c r="K138" s="62" t="s">
        <v>248</v>
      </c>
      <c r="L138" s="63" t="s">
        <v>269</v>
      </c>
      <c r="M138">
        <v>1</v>
      </c>
    </row>
    <row r="139" spans="1:13" ht="16.5" thickBot="1" x14ac:dyDescent="0.3">
      <c r="A139" s="55" t="s">
        <v>406</v>
      </c>
      <c r="B139" s="64" t="s">
        <v>265</v>
      </c>
      <c r="C139" s="64" t="s">
        <v>263</v>
      </c>
      <c r="D139" s="65" t="s">
        <v>264</v>
      </c>
      <c r="E139" s="58" t="s">
        <v>260</v>
      </c>
      <c r="F139" s="59" t="s">
        <v>271</v>
      </c>
      <c r="H139" s="66" t="s">
        <v>406</v>
      </c>
      <c r="I139" s="61" t="s">
        <v>248</v>
      </c>
      <c r="J139" s="62" t="s">
        <v>249</v>
      </c>
      <c r="K139" s="62" t="s">
        <v>250</v>
      </c>
      <c r="L139" s="67" t="s">
        <v>271</v>
      </c>
      <c r="M139">
        <v>2</v>
      </c>
    </row>
    <row r="140" spans="1:13" ht="16.5" thickBot="1" x14ac:dyDescent="0.3">
      <c r="A140" s="55" t="s">
        <v>407</v>
      </c>
      <c r="B140" s="74" t="s">
        <v>257</v>
      </c>
      <c r="C140" s="74" t="s">
        <v>258</v>
      </c>
      <c r="D140" s="75" t="s">
        <v>259</v>
      </c>
      <c r="E140" s="58" t="s">
        <v>260</v>
      </c>
      <c r="F140" s="59" t="s">
        <v>273</v>
      </c>
      <c r="H140" s="60" t="s">
        <v>407</v>
      </c>
      <c r="I140" s="61" t="s">
        <v>248</v>
      </c>
      <c r="J140" s="62" t="s">
        <v>249</v>
      </c>
      <c r="K140" s="62" t="s">
        <v>250</v>
      </c>
      <c r="L140" s="63" t="s">
        <v>273</v>
      </c>
      <c r="M140">
        <v>1</v>
      </c>
    </row>
    <row r="141" spans="1:13" ht="16.5" thickBot="1" x14ac:dyDescent="0.3">
      <c r="A141" s="55" t="s">
        <v>408</v>
      </c>
      <c r="B141" s="64" t="s">
        <v>263</v>
      </c>
      <c r="C141" s="64" t="s">
        <v>264</v>
      </c>
      <c r="D141" s="65" t="s">
        <v>265</v>
      </c>
      <c r="E141" s="58" t="s">
        <v>260</v>
      </c>
      <c r="F141" s="59" t="s">
        <v>275</v>
      </c>
      <c r="H141" s="66" t="s">
        <v>408</v>
      </c>
      <c r="I141" s="61" t="s">
        <v>250</v>
      </c>
      <c r="J141" s="62" t="s">
        <v>248</v>
      </c>
      <c r="K141" s="62" t="s">
        <v>249</v>
      </c>
      <c r="L141" s="67" t="s">
        <v>275</v>
      </c>
      <c r="M141">
        <v>2</v>
      </c>
    </row>
    <row r="142" spans="1:13" ht="16.5" thickBot="1" x14ac:dyDescent="0.3">
      <c r="A142" s="55" t="s">
        <v>409</v>
      </c>
      <c r="B142" s="74" t="s">
        <v>258</v>
      </c>
      <c r="C142" s="74" t="s">
        <v>259</v>
      </c>
      <c r="D142" s="75" t="s">
        <v>257</v>
      </c>
      <c r="E142" s="58" t="s">
        <v>260</v>
      </c>
      <c r="F142" s="59" t="s">
        <v>261</v>
      </c>
      <c r="H142" s="60" t="s">
        <v>409</v>
      </c>
      <c r="I142" s="61" t="s">
        <v>250</v>
      </c>
      <c r="J142" s="62" t="s">
        <v>248</v>
      </c>
      <c r="K142" s="62" t="s">
        <v>249</v>
      </c>
      <c r="L142" s="63" t="s">
        <v>261</v>
      </c>
      <c r="M142">
        <v>1</v>
      </c>
    </row>
    <row r="143" spans="1:13" ht="16.5" thickBot="1" x14ac:dyDescent="0.3">
      <c r="A143" s="55" t="s">
        <v>410</v>
      </c>
      <c r="B143" s="76" t="s">
        <v>264</v>
      </c>
      <c r="C143" s="76" t="s">
        <v>265</v>
      </c>
      <c r="D143" s="77" t="s">
        <v>263</v>
      </c>
      <c r="E143" s="58" t="s">
        <v>260</v>
      </c>
      <c r="F143" s="59" t="s">
        <v>245</v>
      </c>
      <c r="H143" s="66" t="s">
        <v>410</v>
      </c>
      <c r="I143" s="61" t="s">
        <v>249</v>
      </c>
      <c r="J143" s="62" t="s">
        <v>250</v>
      </c>
      <c r="K143" s="62" t="s">
        <v>248</v>
      </c>
      <c r="L143" s="67" t="s">
        <v>245</v>
      </c>
      <c r="M143">
        <v>2</v>
      </c>
    </row>
    <row r="144" spans="1:13" ht="16.5" thickBot="1" x14ac:dyDescent="0.3">
      <c r="A144" s="55" t="s">
        <v>411</v>
      </c>
      <c r="B144" s="74" t="s">
        <v>259</v>
      </c>
      <c r="C144" s="74" t="s">
        <v>257</v>
      </c>
      <c r="D144" s="75" t="s">
        <v>258</v>
      </c>
      <c r="E144" s="58" t="s">
        <v>260</v>
      </c>
      <c r="F144" s="59" t="s">
        <v>267</v>
      </c>
      <c r="H144" s="60" t="s">
        <v>411</v>
      </c>
      <c r="I144" s="61" t="s">
        <v>249</v>
      </c>
      <c r="J144" s="62" t="s">
        <v>250</v>
      </c>
      <c r="K144" s="62" t="s">
        <v>248</v>
      </c>
      <c r="L144" s="63" t="s">
        <v>267</v>
      </c>
      <c r="M144">
        <v>1</v>
      </c>
    </row>
    <row r="145" spans="1:13" ht="16.5" thickBot="1" x14ac:dyDescent="0.3">
      <c r="A145" s="55" t="s">
        <v>412</v>
      </c>
      <c r="B145" s="64" t="s">
        <v>265</v>
      </c>
      <c r="C145" s="64" t="s">
        <v>263</v>
      </c>
      <c r="D145" s="65" t="s">
        <v>264</v>
      </c>
      <c r="E145" s="58" t="s">
        <v>260</v>
      </c>
      <c r="F145" s="59" t="s">
        <v>269</v>
      </c>
      <c r="H145" s="66" t="s">
        <v>412</v>
      </c>
      <c r="I145" s="61" t="s">
        <v>248</v>
      </c>
      <c r="J145" s="62" t="s">
        <v>249</v>
      </c>
      <c r="K145" s="62" t="s">
        <v>250</v>
      </c>
      <c r="L145" s="67" t="s">
        <v>269</v>
      </c>
      <c r="M145">
        <v>2</v>
      </c>
    </row>
    <row r="146" spans="1:13" ht="16.5" thickBot="1" x14ac:dyDescent="0.3">
      <c r="A146" s="55" t="s">
        <v>413</v>
      </c>
      <c r="B146" s="74" t="s">
        <v>257</v>
      </c>
      <c r="C146" s="74" t="s">
        <v>258</v>
      </c>
      <c r="D146" s="75" t="s">
        <v>259</v>
      </c>
      <c r="E146" s="58" t="s">
        <v>260</v>
      </c>
      <c r="F146" s="59" t="s">
        <v>271</v>
      </c>
      <c r="H146" s="60" t="s">
        <v>413</v>
      </c>
      <c r="I146" s="61" t="s">
        <v>248</v>
      </c>
      <c r="J146" s="62" t="s">
        <v>249</v>
      </c>
      <c r="K146" s="62" t="s">
        <v>250</v>
      </c>
      <c r="L146" s="63" t="s">
        <v>271</v>
      </c>
      <c r="M146">
        <v>1</v>
      </c>
    </row>
    <row r="147" spans="1:13" ht="16.5" thickBot="1" x14ac:dyDescent="0.3">
      <c r="A147" s="55" t="s">
        <v>414</v>
      </c>
      <c r="B147" s="64" t="s">
        <v>263</v>
      </c>
      <c r="C147" s="64" t="s">
        <v>264</v>
      </c>
      <c r="D147" s="65" t="s">
        <v>265</v>
      </c>
      <c r="E147" s="58" t="s">
        <v>260</v>
      </c>
      <c r="F147" s="59" t="s">
        <v>273</v>
      </c>
      <c r="H147" s="66" t="s">
        <v>414</v>
      </c>
      <c r="I147" s="61" t="s">
        <v>250</v>
      </c>
      <c r="J147" s="62" t="s">
        <v>248</v>
      </c>
      <c r="K147" s="62" t="s">
        <v>249</v>
      </c>
      <c r="L147" s="67" t="s">
        <v>273</v>
      </c>
      <c r="M147">
        <v>2</v>
      </c>
    </row>
    <row r="148" spans="1:13" ht="16.5" thickBot="1" x14ac:dyDescent="0.3">
      <c r="A148" s="55" t="s">
        <v>415</v>
      </c>
      <c r="B148" s="74" t="s">
        <v>258</v>
      </c>
      <c r="C148" s="74" t="s">
        <v>259</v>
      </c>
      <c r="D148" s="75" t="s">
        <v>257</v>
      </c>
      <c r="E148" s="58" t="s">
        <v>260</v>
      </c>
      <c r="F148" s="59" t="s">
        <v>275</v>
      </c>
      <c r="H148" s="60" t="s">
        <v>415</v>
      </c>
      <c r="I148" s="61" t="s">
        <v>250</v>
      </c>
      <c r="J148" s="62" t="s">
        <v>248</v>
      </c>
      <c r="K148" s="62" t="s">
        <v>249</v>
      </c>
      <c r="L148" s="63" t="s">
        <v>275</v>
      </c>
      <c r="M148">
        <v>1</v>
      </c>
    </row>
    <row r="149" spans="1:13" ht="16.5" thickBot="1" x14ac:dyDescent="0.3">
      <c r="A149" s="55" t="s">
        <v>416</v>
      </c>
      <c r="B149" s="76" t="s">
        <v>264</v>
      </c>
      <c r="C149" s="76" t="s">
        <v>265</v>
      </c>
      <c r="D149" s="77" t="s">
        <v>263</v>
      </c>
      <c r="E149" s="58" t="s">
        <v>260</v>
      </c>
      <c r="F149" s="59" t="s">
        <v>261</v>
      </c>
      <c r="H149" s="66" t="s">
        <v>416</v>
      </c>
      <c r="I149" s="61" t="s">
        <v>249</v>
      </c>
      <c r="J149" s="62" t="s">
        <v>250</v>
      </c>
      <c r="K149" s="62" t="s">
        <v>248</v>
      </c>
      <c r="L149" s="67" t="s">
        <v>261</v>
      </c>
      <c r="M149">
        <v>2</v>
      </c>
    </row>
    <row r="150" spans="1:13" ht="16.5" thickBot="1" x14ac:dyDescent="0.3">
      <c r="A150" s="55" t="s">
        <v>417</v>
      </c>
      <c r="B150" s="74" t="s">
        <v>259</v>
      </c>
      <c r="C150" s="74" t="s">
        <v>257</v>
      </c>
      <c r="D150" s="75" t="s">
        <v>258</v>
      </c>
      <c r="E150" s="58" t="s">
        <v>260</v>
      </c>
      <c r="F150" s="59" t="s">
        <v>245</v>
      </c>
      <c r="H150" s="60" t="s">
        <v>417</v>
      </c>
      <c r="I150" s="61" t="s">
        <v>249</v>
      </c>
      <c r="J150" s="62" t="s">
        <v>250</v>
      </c>
      <c r="K150" s="62" t="s">
        <v>248</v>
      </c>
      <c r="L150" s="63" t="s">
        <v>245</v>
      </c>
      <c r="M150">
        <v>1</v>
      </c>
    </row>
    <row r="151" spans="1:13" ht="16.5" thickBot="1" x14ac:dyDescent="0.3">
      <c r="A151" s="55" t="s">
        <v>418</v>
      </c>
      <c r="B151" s="64" t="s">
        <v>265</v>
      </c>
      <c r="C151" s="64" t="s">
        <v>263</v>
      </c>
      <c r="D151" s="65" t="s">
        <v>264</v>
      </c>
      <c r="E151" s="58" t="s">
        <v>260</v>
      </c>
      <c r="F151" s="59" t="s">
        <v>267</v>
      </c>
      <c r="H151" s="66" t="s">
        <v>418</v>
      </c>
      <c r="I151" s="61" t="s">
        <v>248</v>
      </c>
      <c r="J151" s="62" t="s">
        <v>249</v>
      </c>
      <c r="K151" s="62" t="s">
        <v>250</v>
      </c>
      <c r="L151" s="67" t="s">
        <v>267</v>
      </c>
      <c r="M151">
        <v>2</v>
      </c>
    </row>
    <row r="152" spans="1:13" ht="16.5" thickBot="1" x14ac:dyDescent="0.3">
      <c r="A152" s="55" t="s">
        <v>419</v>
      </c>
      <c r="B152" s="74" t="s">
        <v>257</v>
      </c>
      <c r="C152" s="74" t="s">
        <v>258</v>
      </c>
      <c r="D152" s="75" t="s">
        <v>259</v>
      </c>
      <c r="E152" s="58" t="s">
        <v>260</v>
      </c>
      <c r="F152" s="59" t="s">
        <v>269</v>
      </c>
      <c r="H152" s="60" t="s">
        <v>419</v>
      </c>
      <c r="I152" s="61" t="s">
        <v>248</v>
      </c>
      <c r="J152" s="62" t="s">
        <v>249</v>
      </c>
      <c r="K152" s="62" t="s">
        <v>250</v>
      </c>
      <c r="L152" s="63" t="s">
        <v>269</v>
      </c>
      <c r="M152">
        <v>1</v>
      </c>
    </row>
    <row r="153" spans="1:13" ht="16.5" thickBot="1" x14ac:dyDescent="0.3">
      <c r="A153" s="55" t="s">
        <v>420</v>
      </c>
      <c r="B153" s="64" t="s">
        <v>263</v>
      </c>
      <c r="C153" s="64" t="s">
        <v>264</v>
      </c>
      <c r="D153" s="65" t="s">
        <v>265</v>
      </c>
      <c r="E153" s="58" t="s">
        <v>260</v>
      </c>
      <c r="F153" s="59" t="s">
        <v>271</v>
      </c>
      <c r="H153" s="66" t="s">
        <v>420</v>
      </c>
      <c r="I153" s="61" t="s">
        <v>250</v>
      </c>
      <c r="J153" s="62" t="s">
        <v>248</v>
      </c>
      <c r="K153" s="62" t="s">
        <v>249</v>
      </c>
      <c r="L153" s="67" t="s">
        <v>271</v>
      </c>
      <c r="M153">
        <v>1</v>
      </c>
    </row>
    <row r="154" spans="1:13" ht="16.5" thickBot="1" x14ac:dyDescent="0.3">
      <c r="A154" s="55" t="s">
        <v>421</v>
      </c>
      <c r="B154" s="74" t="s">
        <v>258</v>
      </c>
      <c r="C154" s="74" t="s">
        <v>259</v>
      </c>
      <c r="D154" s="75" t="s">
        <v>257</v>
      </c>
      <c r="E154" s="58" t="s">
        <v>260</v>
      </c>
      <c r="F154" s="59" t="s">
        <v>273</v>
      </c>
      <c r="H154" s="60" t="s">
        <v>421</v>
      </c>
      <c r="I154" s="61" t="s">
        <v>250</v>
      </c>
      <c r="J154" s="62" t="s">
        <v>248</v>
      </c>
      <c r="K154" s="62" t="s">
        <v>249</v>
      </c>
      <c r="L154" s="63" t="s">
        <v>273</v>
      </c>
      <c r="M154">
        <v>2</v>
      </c>
    </row>
    <row r="155" spans="1:13" ht="16.5" thickBot="1" x14ac:dyDescent="0.3">
      <c r="A155" s="55" t="s">
        <v>422</v>
      </c>
      <c r="B155" s="76" t="s">
        <v>264</v>
      </c>
      <c r="C155" s="76" t="s">
        <v>265</v>
      </c>
      <c r="D155" s="77" t="s">
        <v>263</v>
      </c>
      <c r="E155" s="58" t="s">
        <v>260</v>
      </c>
      <c r="F155" s="59" t="s">
        <v>275</v>
      </c>
      <c r="H155" s="66" t="s">
        <v>422</v>
      </c>
      <c r="I155" s="61" t="s">
        <v>249</v>
      </c>
      <c r="J155" s="62" t="s">
        <v>250</v>
      </c>
      <c r="K155" s="62" t="s">
        <v>248</v>
      </c>
      <c r="L155" s="67" t="s">
        <v>275</v>
      </c>
      <c r="M155">
        <v>1</v>
      </c>
    </row>
    <row r="156" spans="1:13" ht="16.5" thickBot="1" x14ac:dyDescent="0.3">
      <c r="A156" s="55" t="s">
        <v>423</v>
      </c>
      <c r="B156" s="74" t="s">
        <v>259</v>
      </c>
      <c r="C156" s="74" t="s">
        <v>257</v>
      </c>
      <c r="D156" s="75" t="s">
        <v>258</v>
      </c>
      <c r="E156" s="58" t="s">
        <v>260</v>
      </c>
      <c r="F156" s="59" t="s">
        <v>261</v>
      </c>
      <c r="H156" s="60" t="s">
        <v>423</v>
      </c>
      <c r="I156" s="61" t="s">
        <v>249</v>
      </c>
      <c r="J156" s="62" t="s">
        <v>250</v>
      </c>
      <c r="K156" s="62" t="s">
        <v>248</v>
      </c>
      <c r="L156" s="63" t="s">
        <v>261</v>
      </c>
      <c r="M156">
        <v>2</v>
      </c>
    </row>
    <row r="157" spans="1:13" ht="16.5" thickBot="1" x14ac:dyDescent="0.3">
      <c r="A157" s="55" t="s">
        <v>424</v>
      </c>
      <c r="B157" s="64" t="s">
        <v>265</v>
      </c>
      <c r="C157" s="64" t="s">
        <v>263</v>
      </c>
      <c r="D157" s="65" t="s">
        <v>264</v>
      </c>
      <c r="E157" s="58" t="s">
        <v>260</v>
      </c>
      <c r="F157" s="59" t="s">
        <v>245</v>
      </c>
      <c r="H157" s="66" t="s">
        <v>424</v>
      </c>
      <c r="I157" s="61" t="s">
        <v>248</v>
      </c>
      <c r="J157" s="62" t="s">
        <v>249</v>
      </c>
      <c r="K157" s="62" t="s">
        <v>250</v>
      </c>
      <c r="L157" s="67" t="s">
        <v>245</v>
      </c>
      <c r="M157">
        <v>1</v>
      </c>
    </row>
    <row r="158" spans="1:13" ht="16.5" thickBot="1" x14ac:dyDescent="0.3">
      <c r="A158" s="55" t="s">
        <v>425</v>
      </c>
      <c r="B158" s="74" t="s">
        <v>257</v>
      </c>
      <c r="C158" s="74" t="s">
        <v>258</v>
      </c>
      <c r="D158" s="75" t="s">
        <v>259</v>
      </c>
      <c r="E158" s="58" t="s">
        <v>260</v>
      </c>
      <c r="F158" s="59" t="s">
        <v>267</v>
      </c>
      <c r="H158" s="60" t="s">
        <v>425</v>
      </c>
      <c r="I158" s="61" t="s">
        <v>248</v>
      </c>
      <c r="J158" s="62" t="s">
        <v>249</v>
      </c>
      <c r="K158" s="62" t="s">
        <v>250</v>
      </c>
      <c r="L158" s="63" t="s">
        <v>267</v>
      </c>
      <c r="M158">
        <v>2</v>
      </c>
    </row>
    <row r="159" spans="1:13" ht="16.5" thickBot="1" x14ac:dyDescent="0.3">
      <c r="A159" s="55" t="s">
        <v>426</v>
      </c>
      <c r="B159" s="64" t="s">
        <v>263</v>
      </c>
      <c r="C159" s="64" t="s">
        <v>264</v>
      </c>
      <c r="D159" s="65" t="s">
        <v>265</v>
      </c>
      <c r="E159" s="58" t="s">
        <v>260</v>
      </c>
      <c r="F159" s="59" t="s">
        <v>269</v>
      </c>
      <c r="H159" s="66" t="s">
        <v>426</v>
      </c>
      <c r="I159" s="61" t="s">
        <v>250</v>
      </c>
      <c r="J159" s="62" t="s">
        <v>248</v>
      </c>
      <c r="K159" s="62" t="s">
        <v>249</v>
      </c>
      <c r="L159" s="67" t="s">
        <v>269</v>
      </c>
      <c r="M159">
        <v>1</v>
      </c>
    </row>
    <row r="160" spans="1:13" ht="16.5" thickBot="1" x14ac:dyDescent="0.3">
      <c r="A160" s="55" t="s">
        <v>427</v>
      </c>
      <c r="B160" s="74" t="s">
        <v>258</v>
      </c>
      <c r="C160" s="74" t="s">
        <v>259</v>
      </c>
      <c r="D160" s="75" t="s">
        <v>257</v>
      </c>
      <c r="E160" s="58" t="s">
        <v>260</v>
      </c>
      <c r="F160" s="59" t="s">
        <v>271</v>
      </c>
      <c r="H160" s="60" t="s">
        <v>427</v>
      </c>
      <c r="I160" s="61" t="s">
        <v>250</v>
      </c>
      <c r="J160" s="62" t="s">
        <v>248</v>
      </c>
      <c r="K160" s="62" t="s">
        <v>249</v>
      </c>
      <c r="L160" s="63" t="s">
        <v>271</v>
      </c>
      <c r="M160">
        <v>2</v>
      </c>
    </row>
    <row r="161" spans="1:13" ht="16.5" thickBot="1" x14ac:dyDescent="0.3">
      <c r="A161" s="55" t="s">
        <v>428</v>
      </c>
      <c r="B161" s="76" t="s">
        <v>264</v>
      </c>
      <c r="C161" s="76" t="s">
        <v>265</v>
      </c>
      <c r="D161" s="77" t="s">
        <v>263</v>
      </c>
      <c r="E161" s="58" t="s">
        <v>260</v>
      </c>
      <c r="F161" s="59" t="s">
        <v>273</v>
      </c>
      <c r="H161" s="66" t="s">
        <v>428</v>
      </c>
      <c r="I161" s="61" t="s">
        <v>249</v>
      </c>
      <c r="J161" s="62" t="s">
        <v>250</v>
      </c>
      <c r="K161" s="62" t="s">
        <v>248</v>
      </c>
      <c r="L161" s="67" t="s">
        <v>273</v>
      </c>
      <c r="M161">
        <v>1</v>
      </c>
    </row>
    <row r="162" spans="1:13" ht="16.5" thickBot="1" x14ac:dyDescent="0.3">
      <c r="A162" s="55" t="s">
        <v>429</v>
      </c>
      <c r="B162" s="74" t="s">
        <v>259</v>
      </c>
      <c r="C162" s="74" t="s">
        <v>257</v>
      </c>
      <c r="D162" s="75" t="s">
        <v>258</v>
      </c>
      <c r="E162" s="58" t="s">
        <v>260</v>
      </c>
      <c r="F162" s="59" t="s">
        <v>275</v>
      </c>
      <c r="H162" s="60" t="s">
        <v>429</v>
      </c>
      <c r="I162" s="61" t="s">
        <v>249</v>
      </c>
      <c r="J162" s="62" t="s">
        <v>250</v>
      </c>
      <c r="K162" s="62" t="s">
        <v>248</v>
      </c>
      <c r="L162" s="63" t="s">
        <v>275</v>
      </c>
      <c r="M162">
        <v>2</v>
      </c>
    </row>
    <row r="163" spans="1:13" ht="16.5" thickBot="1" x14ac:dyDescent="0.3">
      <c r="A163" s="55" t="s">
        <v>430</v>
      </c>
      <c r="B163" s="64" t="s">
        <v>265</v>
      </c>
      <c r="C163" s="64" t="s">
        <v>263</v>
      </c>
      <c r="D163" s="65" t="s">
        <v>264</v>
      </c>
      <c r="E163" s="58" t="s">
        <v>260</v>
      </c>
      <c r="F163" s="59" t="s">
        <v>261</v>
      </c>
      <c r="H163" s="66" t="s">
        <v>430</v>
      </c>
      <c r="I163" s="61" t="s">
        <v>248</v>
      </c>
      <c r="J163" s="62" t="s">
        <v>249</v>
      </c>
      <c r="K163" s="62" t="s">
        <v>250</v>
      </c>
      <c r="L163" s="67" t="s">
        <v>261</v>
      </c>
      <c r="M163">
        <v>1</v>
      </c>
    </row>
    <row r="164" spans="1:13" ht="16.5" thickBot="1" x14ac:dyDescent="0.3">
      <c r="A164" s="55" t="s">
        <v>431</v>
      </c>
      <c r="B164" s="74" t="s">
        <v>257</v>
      </c>
      <c r="C164" s="74" t="s">
        <v>258</v>
      </c>
      <c r="D164" s="75" t="s">
        <v>259</v>
      </c>
      <c r="E164" s="58" t="s">
        <v>260</v>
      </c>
      <c r="F164" s="59" t="s">
        <v>245</v>
      </c>
      <c r="H164" s="60" t="s">
        <v>431</v>
      </c>
      <c r="I164" s="61" t="s">
        <v>248</v>
      </c>
      <c r="J164" s="62" t="s">
        <v>249</v>
      </c>
      <c r="K164" s="62" t="s">
        <v>250</v>
      </c>
      <c r="L164" s="63" t="s">
        <v>245</v>
      </c>
      <c r="M164">
        <v>2</v>
      </c>
    </row>
    <row r="165" spans="1:13" ht="16.5" thickBot="1" x14ac:dyDescent="0.3">
      <c r="A165" s="55" t="s">
        <v>432</v>
      </c>
      <c r="B165" s="64" t="s">
        <v>263</v>
      </c>
      <c r="C165" s="64" t="s">
        <v>264</v>
      </c>
      <c r="D165" s="65" t="s">
        <v>265</v>
      </c>
      <c r="E165" s="58" t="s">
        <v>260</v>
      </c>
      <c r="F165" s="59" t="s">
        <v>267</v>
      </c>
      <c r="H165" s="66" t="s">
        <v>432</v>
      </c>
      <c r="I165" s="61" t="s">
        <v>250</v>
      </c>
      <c r="J165" s="62" t="s">
        <v>248</v>
      </c>
      <c r="K165" s="62" t="s">
        <v>249</v>
      </c>
      <c r="L165" s="67" t="s">
        <v>267</v>
      </c>
      <c r="M165">
        <v>1</v>
      </c>
    </row>
    <row r="166" spans="1:13" ht="16.5" thickBot="1" x14ac:dyDescent="0.3">
      <c r="A166" s="55" t="s">
        <v>433</v>
      </c>
      <c r="B166" s="74" t="s">
        <v>258</v>
      </c>
      <c r="C166" s="74" t="s">
        <v>259</v>
      </c>
      <c r="D166" s="75" t="s">
        <v>257</v>
      </c>
      <c r="E166" s="58" t="s">
        <v>260</v>
      </c>
      <c r="F166" s="59" t="s">
        <v>269</v>
      </c>
      <c r="H166" s="60" t="s">
        <v>433</v>
      </c>
      <c r="I166" s="61" t="s">
        <v>250</v>
      </c>
      <c r="J166" s="62" t="s">
        <v>248</v>
      </c>
      <c r="K166" s="62" t="s">
        <v>249</v>
      </c>
      <c r="L166" s="63" t="s">
        <v>269</v>
      </c>
      <c r="M166">
        <v>2</v>
      </c>
    </row>
    <row r="167" spans="1:13" ht="16.5" thickBot="1" x14ac:dyDescent="0.3">
      <c r="A167" s="55" t="s">
        <v>434</v>
      </c>
      <c r="B167" s="76" t="s">
        <v>264</v>
      </c>
      <c r="C167" s="76" t="s">
        <v>265</v>
      </c>
      <c r="D167" s="77" t="s">
        <v>263</v>
      </c>
      <c r="E167" s="58" t="s">
        <v>260</v>
      </c>
      <c r="F167" s="59" t="s">
        <v>271</v>
      </c>
      <c r="H167" s="66" t="s">
        <v>434</v>
      </c>
      <c r="I167" s="61" t="s">
        <v>249</v>
      </c>
      <c r="J167" s="62" t="s">
        <v>250</v>
      </c>
      <c r="K167" s="62" t="s">
        <v>248</v>
      </c>
      <c r="L167" s="67" t="s">
        <v>271</v>
      </c>
      <c r="M167">
        <v>1</v>
      </c>
    </row>
    <row r="168" spans="1:13" ht="16.5" thickBot="1" x14ac:dyDescent="0.3">
      <c r="A168" s="55" t="s">
        <v>435</v>
      </c>
      <c r="B168" s="74" t="s">
        <v>259</v>
      </c>
      <c r="C168" s="74" t="s">
        <v>257</v>
      </c>
      <c r="D168" s="75" t="s">
        <v>258</v>
      </c>
      <c r="E168" s="58" t="s">
        <v>260</v>
      </c>
      <c r="F168" s="59" t="s">
        <v>273</v>
      </c>
      <c r="H168" s="60" t="s">
        <v>435</v>
      </c>
      <c r="I168" s="61" t="s">
        <v>249</v>
      </c>
      <c r="J168" s="62" t="s">
        <v>250</v>
      </c>
      <c r="K168" s="62" t="s">
        <v>248</v>
      </c>
      <c r="L168" s="63" t="s">
        <v>273</v>
      </c>
      <c r="M168">
        <v>1</v>
      </c>
    </row>
    <row r="169" spans="1:13" ht="16.5" thickBot="1" x14ac:dyDescent="0.3">
      <c r="A169" s="55" t="s">
        <v>436</v>
      </c>
      <c r="B169" s="64" t="s">
        <v>265</v>
      </c>
      <c r="C169" s="64" t="s">
        <v>263</v>
      </c>
      <c r="D169" s="65" t="s">
        <v>264</v>
      </c>
      <c r="E169" s="58" t="s">
        <v>260</v>
      </c>
      <c r="F169" s="59" t="s">
        <v>275</v>
      </c>
      <c r="H169" s="66" t="s">
        <v>436</v>
      </c>
      <c r="I169" s="61" t="s">
        <v>248</v>
      </c>
      <c r="J169" s="62" t="s">
        <v>249</v>
      </c>
      <c r="K169" s="62" t="s">
        <v>250</v>
      </c>
      <c r="L169" s="67" t="s">
        <v>275</v>
      </c>
      <c r="M169">
        <v>2</v>
      </c>
    </row>
    <row r="170" spans="1:13" ht="16.5" thickBot="1" x14ac:dyDescent="0.3">
      <c r="A170" s="55" t="s">
        <v>437</v>
      </c>
      <c r="B170" s="74" t="s">
        <v>257</v>
      </c>
      <c r="C170" s="74" t="s">
        <v>258</v>
      </c>
      <c r="D170" s="75" t="s">
        <v>259</v>
      </c>
      <c r="E170" s="58" t="s">
        <v>260</v>
      </c>
      <c r="F170" s="59" t="s">
        <v>261</v>
      </c>
      <c r="H170" s="60" t="s">
        <v>437</v>
      </c>
      <c r="I170" s="61" t="s">
        <v>248</v>
      </c>
      <c r="J170" s="62" t="s">
        <v>249</v>
      </c>
      <c r="K170" s="62" t="s">
        <v>250</v>
      </c>
      <c r="L170" s="63" t="s">
        <v>261</v>
      </c>
      <c r="M170">
        <v>1</v>
      </c>
    </row>
    <row r="171" spans="1:13" ht="16.5" thickBot="1" x14ac:dyDescent="0.3">
      <c r="A171" s="55" t="s">
        <v>438</v>
      </c>
      <c r="B171" s="64" t="s">
        <v>263</v>
      </c>
      <c r="C171" s="64" t="s">
        <v>264</v>
      </c>
      <c r="D171" s="65" t="s">
        <v>265</v>
      </c>
      <c r="E171" s="58" t="s">
        <v>260</v>
      </c>
      <c r="F171" s="59" t="s">
        <v>245</v>
      </c>
      <c r="H171" s="66" t="s">
        <v>438</v>
      </c>
      <c r="I171" s="61" t="s">
        <v>250</v>
      </c>
      <c r="J171" s="62" t="s">
        <v>248</v>
      </c>
      <c r="K171" s="62" t="s">
        <v>249</v>
      </c>
      <c r="L171" s="67" t="s">
        <v>245</v>
      </c>
      <c r="M171">
        <v>2</v>
      </c>
    </row>
    <row r="172" spans="1:13" ht="16.5" thickBot="1" x14ac:dyDescent="0.3">
      <c r="A172" s="55" t="s">
        <v>439</v>
      </c>
      <c r="B172" s="74" t="s">
        <v>258</v>
      </c>
      <c r="C172" s="74" t="s">
        <v>259</v>
      </c>
      <c r="D172" s="75" t="s">
        <v>257</v>
      </c>
      <c r="E172" s="58" t="s">
        <v>260</v>
      </c>
      <c r="F172" s="59" t="s">
        <v>267</v>
      </c>
      <c r="H172" s="60" t="s">
        <v>439</v>
      </c>
      <c r="I172" s="61" t="s">
        <v>250</v>
      </c>
      <c r="J172" s="62" t="s">
        <v>248</v>
      </c>
      <c r="K172" s="62" t="s">
        <v>249</v>
      </c>
      <c r="L172" s="63" t="s">
        <v>267</v>
      </c>
      <c r="M172">
        <v>1</v>
      </c>
    </row>
    <row r="173" spans="1:13" ht="16.5" thickBot="1" x14ac:dyDescent="0.3">
      <c r="A173" s="55" t="s">
        <v>440</v>
      </c>
      <c r="B173" s="76" t="s">
        <v>264</v>
      </c>
      <c r="C173" s="76" t="s">
        <v>265</v>
      </c>
      <c r="D173" s="77" t="s">
        <v>263</v>
      </c>
      <c r="E173" s="58" t="s">
        <v>260</v>
      </c>
      <c r="F173" s="59" t="s">
        <v>269</v>
      </c>
      <c r="H173" s="66" t="s">
        <v>440</v>
      </c>
      <c r="I173" s="61" t="s">
        <v>249</v>
      </c>
      <c r="J173" s="62" t="s">
        <v>250</v>
      </c>
      <c r="K173" s="62" t="s">
        <v>248</v>
      </c>
      <c r="L173" s="67" t="s">
        <v>269</v>
      </c>
      <c r="M173">
        <v>2</v>
      </c>
    </row>
    <row r="174" spans="1:13" ht="16.5" thickBot="1" x14ac:dyDescent="0.3">
      <c r="A174" s="55" t="s">
        <v>441</v>
      </c>
      <c r="B174" s="74" t="s">
        <v>259</v>
      </c>
      <c r="C174" s="74" t="s">
        <v>257</v>
      </c>
      <c r="D174" s="75" t="s">
        <v>258</v>
      </c>
      <c r="E174" s="58" t="s">
        <v>260</v>
      </c>
      <c r="F174" s="59" t="s">
        <v>271</v>
      </c>
      <c r="H174" s="60" t="s">
        <v>441</v>
      </c>
      <c r="I174" s="61" t="s">
        <v>249</v>
      </c>
      <c r="J174" s="62" t="s">
        <v>250</v>
      </c>
      <c r="K174" s="62" t="s">
        <v>248</v>
      </c>
      <c r="L174" s="63" t="s">
        <v>271</v>
      </c>
      <c r="M174">
        <v>1</v>
      </c>
    </row>
    <row r="175" spans="1:13" ht="16.5" thickBot="1" x14ac:dyDescent="0.3">
      <c r="A175" s="55" t="s">
        <v>442</v>
      </c>
      <c r="B175" s="64" t="s">
        <v>265</v>
      </c>
      <c r="C175" s="64" t="s">
        <v>263</v>
      </c>
      <c r="D175" s="65" t="s">
        <v>264</v>
      </c>
      <c r="E175" s="58" t="s">
        <v>260</v>
      </c>
      <c r="F175" s="59" t="s">
        <v>273</v>
      </c>
      <c r="H175" s="66" t="s">
        <v>442</v>
      </c>
      <c r="I175" s="61" t="s">
        <v>248</v>
      </c>
      <c r="J175" s="62" t="s">
        <v>249</v>
      </c>
      <c r="K175" s="62" t="s">
        <v>250</v>
      </c>
      <c r="L175" s="67" t="s">
        <v>273</v>
      </c>
      <c r="M175">
        <v>2</v>
      </c>
    </row>
    <row r="176" spans="1:13" ht="16.5" thickBot="1" x14ac:dyDescent="0.3">
      <c r="A176" s="55" t="s">
        <v>443</v>
      </c>
      <c r="B176" s="74" t="s">
        <v>257</v>
      </c>
      <c r="C176" s="74" t="s">
        <v>258</v>
      </c>
      <c r="D176" s="75" t="s">
        <v>259</v>
      </c>
      <c r="E176" s="58" t="s">
        <v>260</v>
      </c>
      <c r="F176" s="59" t="s">
        <v>275</v>
      </c>
      <c r="H176" s="60" t="s">
        <v>443</v>
      </c>
      <c r="I176" s="61" t="s">
        <v>248</v>
      </c>
      <c r="J176" s="62" t="s">
        <v>249</v>
      </c>
      <c r="K176" s="62" t="s">
        <v>250</v>
      </c>
      <c r="L176" s="63" t="s">
        <v>275</v>
      </c>
      <c r="M176">
        <v>1</v>
      </c>
    </row>
    <row r="177" spans="1:13" ht="16.5" thickBot="1" x14ac:dyDescent="0.3">
      <c r="A177" s="55" t="s">
        <v>444</v>
      </c>
      <c r="B177" s="64" t="s">
        <v>263</v>
      </c>
      <c r="C177" s="64" t="s">
        <v>264</v>
      </c>
      <c r="D177" s="65" t="s">
        <v>265</v>
      </c>
      <c r="E177" s="58" t="s">
        <v>260</v>
      </c>
      <c r="F177" s="59" t="s">
        <v>261</v>
      </c>
      <c r="H177" s="66" t="s">
        <v>444</v>
      </c>
      <c r="I177" s="61" t="s">
        <v>250</v>
      </c>
      <c r="J177" s="62" t="s">
        <v>248</v>
      </c>
      <c r="K177" s="62" t="s">
        <v>249</v>
      </c>
      <c r="L177" s="67" t="s">
        <v>261</v>
      </c>
      <c r="M177">
        <v>2</v>
      </c>
    </row>
    <row r="178" spans="1:13" ht="16.5" thickBot="1" x14ac:dyDescent="0.3">
      <c r="A178" s="55" t="s">
        <v>445</v>
      </c>
      <c r="B178" s="74" t="s">
        <v>258</v>
      </c>
      <c r="C178" s="74" t="s">
        <v>259</v>
      </c>
      <c r="D178" s="75" t="s">
        <v>257</v>
      </c>
      <c r="E178" s="58" t="s">
        <v>260</v>
      </c>
      <c r="F178" s="59" t="s">
        <v>245</v>
      </c>
      <c r="H178" s="60" t="s">
        <v>445</v>
      </c>
      <c r="I178" s="61" t="s">
        <v>250</v>
      </c>
      <c r="J178" s="62" t="s">
        <v>248</v>
      </c>
      <c r="K178" s="62" t="s">
        <v>249</v>
      </c>
      <c r="L178" s="63" t="s">
        <v>245</v>
      </c>
      <c r="M178">
        <v>1</v>
      </c>
    </row>
    <row r="179" spans="1:13" ht="16.5" thickBot="1" x14ac:dyDescent="0.3">
      <c r="A179" s="55" t="s">
        <v>446</v>
      </c>
      <c r="B179" s="76" t="s">
        <v>264</v>
      </c>
      <c r="C179" s="76" t="s">
        <v>265</v>
      </c>
      <c r="D179" s="77" t="s">
        <v>263</v>
      </c>
      <c r="E179" s="58" t="s">
        <v>260</v>
      </c>
      <c r="F179" s="59" t="s">
        <v>267</v>
      </c>
      <c r="H179" s="66" t="s">
        <v>446</v>
      </c>
      <c r="I179" s="61" t="s">
        <v>249</v>
      </c>
      <c r="J179" s="62" t="s">
        <v>250</v>
      </c>
      <c r="K179" s="62" t="s">
        <v>248</v>
      </c>
      <c r="L179" s="67" t="s">
        <v>267</v>
      </c>
      <c r="M179">
        <v>2</v>
      </c>
    </row>
    <row r="180" spans="1:13" ht="16.5" thickBot="1" x14ac:dyDescent="0.3">
      <c r="A180" s="55" t="s">
        <v>447</v>
      </c>
      <c r="B180" s="74" t="s">
        <v>259</v>
      </c>
      <c r="C180" s="74" t="s">
        <v>257</v>
      </c>
      <c r="D180" s="75" t="s">
        <v>258</v>
      </c>
      <c r="E180" s="58" t="s">
        <v>260</v>
      </c>
      <c r="F180" s="59" t="s">
        <v>269</v>
      </c>
      <c r="H180" s="60" t="s">
        <v>447</v>
      </c>
      <c r="I180" s="61" t="s">
        <v>249</v>
      </c>
      <c r="J180" s="62" t="s">
        <v>250</v>
      </c>
      <c r="K180" s="62" t="s">
        <v>248</v>
      </c>
      <c r="L180" s="63" t="s">
        <v>269</v>
      </c>
      <c r="M180">
        <v>1</v>
      </c>
    </row>
    <row r="181" spans="1:13" ht="16.5" thickBot="1" x14ac:dyDescent="0.3">
      <c r="A181" s="55" t="s">
        <v>448</v>
      </c>
      <c r="B181" s="64" t="s">
        <v>265</v>
      </c>
      <c r="C181" s="64" t="s">
        <v>263</v>
      </c>
      <c r="D181" s="65" t="s">
        <v>264</v>
      </c>
      <c r="E181" s="58" t="s">
        <v>260</v>
      </c>
      <c r="F181" s="59" t="s">
        <v>271</v>
      </c>
      <c r="H181" s="66" t="s">
        <v>448</v>
      </c>
      <c r="I181" s="61" t="s">
        <v>248</v>
      </c>
      <c r="J181" s="62" t="s">
        <v>249</v>
      </c>
      <c r="K181" s="62" t="s">
        <v>250</v>
      </c>
      <c r="L181" s="67" t="s">
        <v>271</v>
      </c>
      <c r="M181">
        <v>2</v>
      </c>
    </row>
    <row r="182" spans="1:13" ht="16.5" thickBot="1" x14ac:dyDescent="0.3">
      <c r="A182" s="55" t="s">
        <v>449</v>
      </c>
      <c r="B182" s="74" t="s">
        <v>257</v>
      </c>
      <c r="C182" s="74" t="s">
        <v>258</v>
      </c>
      <c r="D182" s="75" t="s">
        <v>259</v>
      </c>
      <c r="E182" s="58" t="s">
        <v>260</v>
      </c>
      <c r="F182" s="59" t="s">
        <v>273</v>
      </c>
      <c r="H182" s="60" t="s">
        <v>449</v>
      </c>
      <c r="I182" s="61" t="s">
        <v>248</v>
      </c>
      <c r="J182" s="62" t="s">
        <v>249</v>
      </c>
      <c r="K182" s="62" t="s">
        <v>250</v>
      </c>
      <c r="L182" s="63" t="s">
        <v>273</v>
      </c>
      <c r="M182">
        <v>1</v>
      </c>
    </row>
    <row r="183" spans="1:13" ht="16.5" thickBot="1" x14ac:dyDescent="0.3">
      <c r="A183" s="55" t="s">
        <v>450</v>
      </c>
      <c r="B183" s="64" t="s">
        <v>263</v>
      </c>
      <c r="C183" s="64" t="s">
        <v>264</v>
      </c>
      <c r="D183" s="65" t="s">
        <v>265</v>
      </c>
      <c r="E183" s="58" t="s">
        <v>260</v>
      </c>
      <c r="F183" s="59" t="s">
        <v>275</v>
      </c>
      <c r="H183" s="66" t="s">
        <v>450</v>
      </c>
      <c r="I183" s="61" t="s">
        <v>250</v>
      </c>
      <c r="J183" s="62" t="s">
        <v>248</v>
      </c>
      <c r="K183" s="62" t="s">
        <v>249</v>
      </c>
      <c r="L183" s="67" t="s">
        <v>275</v>
      </c>
      <c r="M183">
        <v>1</v>
      </c>
    </row>
    <row r="184" spans="1:13" ht="16.5" thickBot="1" x14ac:dyDescent="0.3">
      <c r="A184" s="55" t="s">
        <v>451</v>
      </c>
      <c r="B184" s="74" t="s">
        <v>258</v>
      </c>
      <c r="C184" s="74" t="s">
        <v>259</v>
      </c>
      <c r="D184" s="75" t="s">
        <v>257</v>
      </c>
      <c r="E184" s="58" t="s">
        <v>260</v>
      </c>
      <c r="F184" s="59" t="s">
        <v>261</v>
      </c>
      <c r="H184" s="60" t="s">
        <v>451</v>
      </c>
      <c r="I184" s="61" t="s">
        <v>250</v>
      </c>
      <c r="J184" s="62" t="s">
        <v>248</v>
      </c>
      <c r="K184" s="62" t="s">
        <v>249</v>
      </c>
      <c r="L184" s="63" t="s">
        <v>261</v>
      </c>
      <c r="M184">
        <v>2</v>
      </c>
    </row>
    <row r="185" spans="1:13" ht="16.5" thickBot="1" x14ac:dyDescent="0.3">
      <c r="A185" s="55" t="s">
        <v>452</v>
      </c>
      <c r="B185" s="76" t="s">
        <v>264</v>
      </c>
      <c r="C185" s="76" t="s">
        <v>265</v>
      </c>
      <c r="D185" s="77" t="s">
        <v>263</v>
      </c>
      <c r="E185" s="58" t="s">
        <v>260</v>
      </c>
      <c r="F185" s="59" t="s">
        <v>245</v>
      </c>
      <c r="H185" s="66" t="s">
        <v>452</v>
      </c>
      <c r="I185" s="61" t="s">
        <v>249</v>
      </c>
      <c r="J185" s="62" t="s">
        <v>250</v>
      </c>
      <c r="K185" s="62" t="s">
        <v>248</v>
      </c>
      <c r="L185" s="67" t="s">
        <v>245</v>
      </c>
      <c r="M185">
        <v>1</v>
      </c>
    </row>
    <row r="186" spans="1:13" ht="16.5" thickBot="1" x14ac:dyDescent="0.3">
      <c r="A186" s="55" t="s">
        <v>453</v>
      </c>
      <c r="B186" s="74" t="s">
        <v>259</v>
      </c>
      <c r="C186" s="74" t="s">
        <v>257</v>
      </c>
      <c r="D186" s="75" t="s">
        <v>258</v>
      </c>
      <c r="E186" s="58" t="s">
        <v>260</v>
      </c>
      <c r="F186" s="59" t="s">
        <v>267</v>
      </c>
      <c r="H186" s="60" t="s">
        <v>453</v>
      </c>
      <c r="I186" s="61" t="s">
        <v>249</v>
      </c>
      <c r="J186" s="62" t="s">
        <v>250</v>
      </c>
      <c r="K186" s="62" t="s">
        <v>248</v>
      </c>
      <c r="L186" s="63" t="s">
        <v>267</v>
      </c>
      <c r="M186">
        <v>2</v>
      </c>
    </row>
    <row r="187" spans="1:13" ht="16.5" thickBot="1" x14ac:dyDescent="0.3">
      <c r="A187" s="55" t="s">
        <v>454</v>
      </c>
      <c r="B187" s="64" t="s">
        <v>265</v>
      </c>
      <c r="C187" s="64" t="s">
        <v>263</v>
      </c>
      <c r="D187" s="65" t="s">
        <v>264</v>
      </c>
      <c r="E187" s="58" t="s">
        <v>260</v>
      </c>
      <c r="F187" s="59" t="s">
        <v>269</v>
      </c>
      <c r="H187" s="66" t="s">
        <v>454</v>
      </c>
      <c r="I187" s="61" t="s">
        <v>248</v>
      </c>
      <c r="J187" s="62" t="s">
        <v>249</v>
      </c>
      <c r="K187" s="62" t="s">
        <v>250</v>
      </c>
      <c r="L187" s="67" t="s">
        <v>269</v>
      </c>
      <c r="M187">
        <v>1</v>
      </c>
    </row>
    <row r="188" spans="1:13" ht="16.5" thickBot="1" x14ac:dyDescent="0.3">
      <c r="A188" s="55" t="s">
        <v>455</v>
      </c>
      <c r="B188" s="74" t="s">
        <v>257</v>
      </c>
      <c r="C188" s="74" t="s">
        <v>258</v>
      </c>
      <c r="D188" s="75" t="s">
        <v>259</v>
      </c>
      <c r="E188" s="58" t="s">
        <v>260</v>
      </c>
      <c r="F188" s="59" t="s">
        <v>271</v>
      </c>
      <c r="H188" s="60" t="s">
        <v>455</v>
      </c>
      <c r="I188" s="61" t="s">
        <v>248</v>
      </c>
      <c r="J188" s="62" t="s">
        <v>249</v>
      </c>
      <c r="K188" s="62" t="s">
        <v>250</v>
      </c>
      <c r="L188" s="63" t="s">
        <v>271</v>
      </c>
      <c r="M188">
        <v>2</v>
      </c>
    </row>
    <row r="189" spans="1:13" ht="16.5" thickBot="1" x14ac:dyDescent="0.3">
      <c r="A189" s="55" t="s">
        <v>456</v>
      </c>
      <c r="B189" s="64" t="s">
        <v>263</v>
      </c>
      <c r="C189" s="64" t="s">
        <v>264</v>
      </c>
      <c r="D189" s="65" t="s">
        <v>265</v>
      </c>
      <c r="E189" s="58" t="s">
        <v>260</v>
      </c>
      <c r="F189" s="59" t="s">
        <v>273</v>
      </c>
      <c r="H189" s="66" t="s">
        <v>456</v>
      </c>
      <c r="I189" s="61" t="s">
        <v>250</v>
      </c>
      <c r="J189" s="62" t="s">
        <v>248</v>
      </c>
      <c r="K189" s="62" t="s">
        <v>249</v>
      </c>
      <c r="L189" s="67" t="s">
        <v>273</v>
      </c>
      <c r="M189">
        <v>1</v>
      </c>
    </row>
    <row r="190" spans="1:13" ht="16.5" thickBot="1" x14ac:dyDescent="0.3">
      <c r="A190" s="55" t="s">
        <v>457</v>
      </c>
      <c r="B190" s="74" t="s">
        <v>258</v>
      </c>
      <c r="C190" s="74" t="s">
        <v>259</v>
      </c>
      <c r="D190" s="75" t="s">
        <v>257</v>
      </c>
      <c r="E190" s="58" t="s">
        <v>260</v>
      </c>
      <c r="F190" s="59" t="s">
        <v>275</v>
      </c>
      <c r="H190" s="60" t="s">
        <v>457</v>
      </c>
      <c r="I190" s="61" t="s">
        <v>250</v>
      </c>
      <c r="J190" s="62" t="s">
        <v>248</v>
      </c>
      <c r="K190" s="62" t="s">
        <v>249</v>
      </c>
      <c r="L190" s="63" t="s">
        <v>275</v>
      </c>
      <c r="M190">
        <v>2</v>
      </c>
    </row>
    <row r="191" spans="1:13" ht="16.5" thickBot="1" x14ac:dyDescent="0.3">
      <c r="A191" s="55" t="s">
        <v>458</v>
      </c>
      <c r="B191" s="76" t="s">
        <v>264</v>
      </c>
      <c r="C191" s="76" t="s">
        <v>265</v>
      </c>
      <c r="D191" s="77" t="s">
        <v>263</v>
      </c>
      <c r="E191" s="58" t="s">
        <v>260</v>
      </c>
      <c r="F191" s="59" t="s">
        <v>261</v>
      </c>
      <c r="H191" s="66" t="s">
        <v>458</v>
      </c>
      <c r="I191" s="61" t="s">
        <v>249</v>
      </c>
      <c r="J191" s="62" t="s">
        <v>250</v>
      </c>
      <c r="K191" s="62" t="s">
        <v>248</v>
      </c>
      <c r="L191" s="67" t="s">
        <v>261</v>
      </c>
      <c r="M191">
        <v>1</v>
      </c>
    </row>
    <row r="192" spans="1:13" ht="16.5" thickBot="1" x14ac:dyDescent="0.3">
      <c r="A192" s="55" t="s">
        <v>459</v>
      </c>
      <c r="B192" s="74" t="s">
        <v>259</v>
      </c>
      <c r="C192" s="74" t="s">
        <v>257</v>
      </c>
      <c r="D192" s="75" t="s">
        <v>258</v>
      </c>
      <c r="E192" s="58" t="s">
        <v>260</v>
      </c>
      <c r="F192" s="59" t="s">
        <v>245</v>
      </c>
      <c r="H192" s="60" t="s">
        <v>459</v>
      </c>
      <c r="I192" s="61" t="s">
        <v>249</v>
      </c>
      <c r="J192" s="62" t="s">
        <v>250</v>
      </c>
      <c r="K192" s="62" t="s">
        <v>248</v>
      </c>
      <c r="L192" s="63" t="s">
        <v>245</v>
      </c>
      <c r="M192">
        <v>2</v>
      </c>
    </row>
    <row r="193" spans="1:13" ht="16.5" thickBot="1" x14ac:dyDescent="0.3">
      <c r="A193" s="55" t="s">
        <v>460</v>
      </c>
      <c r="B193" s="64" t="s">
        <v>265</v>
      </c>
      <c r="C193" s="64" t="s">
        <v>263</v>
      </c>
      <c r="D193" s="65" t="s">
        <v>264</v>
      </c>
      <c r="E193" s="58" t="s">
        <v>260</v>
      </c>
      <c r="F193" s="59" t="s">
        <v>267</v>
      </c>
      <c r="H193" s="66" t="s">
        <v>460</v>
      </c>
      <c r="I193" s="61" t="s">
        <v>248</v>
      </c>
      <c r="J193" s="62" t="s">
        <v>249</v>
      </c>
      <c r="K193" s="62" t="s">
        <v>250</v>
      </c>
      <c r="L193" s="67" t="s">
        <v>267</v>
      </c>
      <c r="M193">
        <v>1</v>
      </c>
    </row>
    <row r="194" spans="1:13" ht="16.5" thickBot="1" x14ac:dyDescent="0.3">
      <c r="A194" s="55" t="s">
        <v>461</v>
      </c>
      <c r="B194" s="74" t="s">
        <v>257</v>
      </c>
      <c r="C194" s="74" t="s">
        <v>258</v>
      </c>
      <c r="D194" s="75" t="s">
        <v>259</v>
      </c>
      <c r="E194" s="58" t="s">
        <v>260</v>
      </c>
      <c r="F194" s="59" t="s">
        <v>269</v>
      </c>
      <c r="H194" s="60" t="s">
        <v>461</v>
      </c>
      <c r="I194" s="61" t="s">
        <v>248</v>
      </c>
      <c r="J194" s="62" t="s">
        <v>249</v>
      </c>
      <c r="K194" s="62" t="s">
        <v>250</v>
      </c>
      <c r="L194" s="63" t="s">
        <v>269</v>
      </c>
      <c r="M194">
        <v>2</v>
      </c>
    </row>
    <row r="195" spans="1:13" ht="16.5" thickBot="1" x14ac:dyDescent="0.3">
      <c r="A195" s="55" t="s">
        <v>462</v>
      </c>
      <c r="B195" s="64" t="s">
        <v>263</v>
      </c>
      <c r="C195" s="64" t="s">
        <v>264</v>
      </c>
      <c r="D195" s="65" t="s">
        <v>265</v>
      </c>
      <c r="E195" s="58" t="s">
        <v>260</v>
      </c>
      <c r="F195" s="59" t="s">
        <v>271</v>
      </c>
      <c r="H195" s="66" t="s">
        <v>462</v>
      </c>
      <c r="I195" s="61" t="s">
        <v>250</v>
      </c>
      <c r="J195" s="62" t="s">
        <v>248</v>
      </c>
      <c r="K195" s="62" t="s">
        <v>249</v>
      </c>
      <c r="L195" s="67" t="s">
        <v>271</v>
      </c>
      <c r="M195">
        <v>1</v>
      </c>
    </row>
    <row r="196" spans="1:13" ht="16.5" thickBot="1" x14ac:dyDescent="0.3">
      <c r="A196" s="55" t="s">
        <v>463</v>
      </c>
      <c r="B196" s="74" t="s">
        <v>258</v>
      </c>
      <c r="C196" s="74" t="s">
        <v>259</v>
      </c>
      <c r="D196" s="75" t="s">
        <v>257</v>
      </c>
      <c r="E196" s="58" t="s">
        <v>260</v>
      </c>
      <c r="F196" s="59" t="s">
        <v>273</v>
      </c>
      <c r="H196" s="60" t="s">
        <v>463</v>
      </c>
      <c r="I196" s="61" t="s">
        <v>250</v>
      </c>
      <c r="J196" s="62" t="s">
        <v>248</v>
      </c>
      <c r="K196" s="62" t="s">
        <v>249</v>
      </c>
      <c r="L196" s="63" t="s">
        <v>273</v>
      </c>
      <c r="M196">
        <v>2</v>
      </c>
    </row>
    <row r="197" spans="1:13" ht="16.5" thickBot="1" x14ac:dyDescent="0.3">
      <c r="A197" s="55" t="s">
        <v>464</v>
      </c>
      <c r="B197" s="76" t="s">
        <v>264</v>
      </c>
      <c r="C197" s="76" t="s">
        <v>265</v>
      </c>
      <c r="D197" s="77" t="s">
        <v>263</v>
      </c>
      <c r="E197" s="58" t="s">
        <v>260</v>
      </c>
      <c r="F197" s="59" t="s">
        <v>275</v>
      </c>
      <c r="H197" s="66" t="s">
        <v>464</v>
      </c>
      <c r="I197" s="61" t="s">
        <v>249</v>
      </c>
      <c r="J197" s="62" t="s">
        <v>250</v>
      </c>
      <c r="K197" s="62" t="s">
        <v>248</v>
      </c>
      <c r="L197" s="67" t="s">
        <v>275</v>
      </c>
      <c r="M197">
        <v>1</v>
      </c>
    </row>
    <row r="198" spans="1:13" ht="16.5" thickBot="1" x14ac:dyDescent="0.3">
      <c r="A198" s="55" t="s">
        <v>465</v>
      </c>
      <c r="B198" s="74" t="s">
        <v>259</v>
      </c>
      <c r="C198" s="74" t="s">
        <v>257</v>
      </c>
      <c r="D198" s="75" t="s">
        <v>258</v>
      </c>
      <c r="E198" s="58" t="s">
        <v>260</v>
      </c>
      <c r="F198" s="59" t="s">
        <v>261</v>
      </c>
      <c r="H198" s="60" t="s">
        <v>465</v>
      </c>
      <c r="I198" s="61" t="s">
        <v>249</v>
      </c>
      <c r="J198" s="62" t="s">
        <v>250</v>
      </c>
      <c r="K198" s="62" t="s">
        <v>248</v>
      </c>
      <c r="L198" s="63" t="s">
        <v>261</v>
      </c>
      <c r="M198">
        <v>1</v>
      </c>
    </row>
    <row r="199" spans="1:13" ht="16.5" thickBot="1" x14ac:dyDescent="0.3">
      <c r="A199" s="55" t="s">
        <v>466</v>
      </c>
      <c r="B199" s="64" t="s">
        <v>265</v>
      </c>
      <c r="C199" s="64" t="s">
        <v>263</v>
      </c>
      <c r="D199" s="65" t="s">
        <v>264</v>
      </c>
      <c r="E199" s="58" t="s">
        <v>260</v>
      </c>
      <c r="F199" s="59" t="s">
        <v>245</v>
      </c>
      <c r="H199" s="66" t="s">
        <v>466</v>
      </c>
      <c r="I199" s="61" t="s">
        <v>248</v>
      </c>
      <c r="J199" s="62" t="s">
        <v>249</v>
      </c>
      <c r="K199" s="62" t="s">
        <v>250</v>
      </c>
      <c r="L199" s="67" t="s">
        <v>245</v>
      </c>
      <c r="M199">
        <v>2</v>
      </c>
    </row>
    <row r="200" spans="1:13" ht="16.5" thickBot="1" x14ac:dyDescent="0.3">
      <c r="A200" s="55" t="s">
        <v>467</v>
      </c>
      <c r="B200" s="74" t="s">
        <v>257</v>
      </c>
      <c r="C200" s="74" t="s">
        <v>258</v>
      </c>
      <c r="D200" s="75" t="s">
        <v>259</v>
      </c>
      <c r="E200" s="58" t="s">
        <v>260</v>
      </c>
      <c r="F200" s="59" t="s">
        <v>267</v>
      </c>
      <c r="H200" s="60" t="s">
        <v>467</v>
      </c>
      <c r="I200" s="61" t="s">
        <v>248</v>
      </c>
      <c r="J200" s="62" t="s">
        <v>249</v>
      </c>
      <c r="K200" s="62" t="s">
        <v>250</v>
      </c>
      <c r="L200" s="63" t="s">
        <v>267</v>
      </c>
      <c r="M200">
        <v>1</v>
      </c>
    </row>
    <row r="201" spans="1:13" ht="16.5" thickBot="1" x14ac:dyDescent="0.3">
      <c r="A201" s="55" t="s">
        <v>468</v>
      </c>
      <c r="B201" s="64" t="s">
        <v>263</v>
      </c>
      <c r="C201" s="64" t="s">
        <v>264</v>
      </c>
      <c r="D201" s="65" t="s">
        <v>265</v>
      </c>
      <c r="E201" s="58" t="s">
        <v>260</v>
      </c>
      <c r="F201" s="59" t="s">
        <v>269</v>
      </c>
      <c r="H201" s="66" t="s">
        <v>468</v>
      </c>
      <c r="I201" s="61" t="s">
        <v>250</v>
      </c>
      <c r="J201" s="62" t="s">
        <v>248</v>
      </c>
      <c r="K201" s="62" t="s">
        <v>249</v>
      </c>
      <c r="L201" s="67" t="s">
        <v>269</v>
      </c>
      <c r="M201">
        <v>2</v>
      </c>
    </row>
    <row r="202" spans="1:13" ht="16.5" thickBot="1" x14ac:dyDescent="0.3">
      <c r="A202" s="55" t="s">
        <v>469</v>
      </c>
      <c r="B202" s="74" t="s">
        <v>258</v>
      </c>
      <c r="C202" s="74" t="s">
        <v>259</v>
      </c>
      <c r="D202" s="75" t="s">
        <v>257</v>
      </c>
      <c r="E202" s="58" t="s">
        <v>260</v>
      </c>
      <c r="F202" s="59" t="s">
        <v>271</v>
      </c>
      <c r="H202" s="60" t="s">
        <v>469</v>
      </c>
      <c r="I202" s="61" t="s">
        <v>250</v>
      </c>
      <c r="J202" s="62" t="s">
        <v>248</v>
      </c>
      <c r="K202" s="62" t="s">
        <v>249</v>
      </c>
      <c r="L202" s="63" t="s">
        <v>271</v>
      </c>
      <c r="M202">
        <v>1</v>
      </c>
    </row>
    <row r="203" spans="1:13" ht="16.5" thickBot="1" x14ac:dyDescent="0.3">
      <c r="A203" s="55" t="s">
        <v>470</v>
      </c>
      <c r="B203" s="76" t="s">
        <v>264</v>
      </c>
      <c r="C203" s="76" t="s">
        <v>265</v>
      </c>
      <c r="D203" s="77" t="s">
        <v>263</v>
      </c>
      <c r="E203" s="58" t="s">
        <v>260</v>
      </c>
      <c r="F203" s="59" t="s">
        <v>273</v>
      </c>
      <c r="H203" s="66" t="s">
        <v>470</v>
      </c>
      <c r="I203" s="61" t="s">
        <v>249</v>
      </c>
      <c r="J203" s="62" t="s">
        <v>250</v>
      </c>
      <c r="K203" s="62" t="s">
        <v>248</v>
      </c>
      <c r="L203" s="67" t="s">
        <v>273</v>
      </c>
      <c r="M203">
        <v>2</v>
      </c>
    </row>
    <row r="204" spans="1:13" ht="16.5" thickBot="1" x14ac:dyDescent="0.3">
      <c r="A204" s="55" t="s">
        <v>471</v>
      </c>
      <c r="B204" s="74" t="s">
        <v>259</v>
      </c>
      <c r="C204" s="74" t="s">
        <v>257</v>
      </c>
      <c r="D204" s="75" t="s">
        <v>258</v>
      </c>
      <c r="E204" s="58" t="s">
        <v>260</v>
      </c>
      <c r="F204" s="59" t="s">
        <v>275</v>
      </c>
      <c r="H204" s="60" t="s">
        <v>471</v>
      </c>
      <c r="I204" s="61" t="s">
        <v>249</v>
      </c>
      <c r="J204" s="62" t="s">
        <v>250</v>
      </c>
      <c r="K204" s="62" t="s">
        <v>248</v>
      </c>
      <c r="L204" s="63" t="s">
        <v>275</v>
      </c>
      <c r="M204">
        <v>1</v>
      </c>
    </row>
    <row r="205" spans="1:13" ht="16.5" thickBot="1" x14ac:dyDescent="0.3">
      <c r="A205" s="55" t="s">
        <v>472</v>
      </c>
      <c r="B205" s="64" t="s">
        <v>265</v>
      </c>
      <c r="C205" s="64" t="s">
        <v>263</v>
      </c>
      <c r="D205" s="65" t="s">
        <v>264</v>
      </c>
      <c r="E205" s="58" t="s">
        <v>260</v>
      </c>
      <c r="F205" s="59" t="s">
        <v>261</v>
      </c>
      <c r="H205" s="66" t="s">
        <v>472</v>
      </c>
      <c r="I205" s="61" t="s">
        <v>248</v>
      </c>
      <c r="J205" s="62" t="s">
        <v>249</v>
      </c>
      <c r="K205" s="62" t="s">
        <v>250</v>
      </c>
      <c r="L205" s="67" t="s">
        <v>261</v>
      </c>
      <c r="M205">
        <v>2</v>
      </c>
    </row>
    <row r="206" spans="1:13" ht="16.5" thickBot="1" x14ac:dyDescent="0.3">
      <c r="A206" s="55" t="s">
        <v>473</v>
      </c>
      <c r="B206" s="74" t="s">
        <v>257</v>
      </c>
      <c r="C206" s="74" t="s">
        <v>258</v>
      </c>
      <c r="D206" s="75" t="s">
        <v>259</v>
      </c>
      <c r="E206" s="58" t="s">
        <v>260</v>
      </c>
      <c r="F206" s="59" t="s">
        <v>245</v>
      </c>
      <c r="H206" s="60" t="s">
        <v>473</v>
      </c>
      <c r="I206" s="61" t="s">
        <v>248</v>
      </c>
      <c r="J206" s="62" t="s">
        <v>249</v>
      </c>
      <c r="K206" s="62" t="s">
        <v>250</v>
      </c>
      <c r="L206" s="63" t="s">
        <v>245</v>
      </c>
      <c r="M206">
        <v>1</v>
      </c>
    </row>
    <row r="207" spans="1:13" ht="16.5" thickBot="1" x14ac:dyDescent="0.3">
      <c r="A207" s="55" t="s">
        <v>474</v>
      </c>
      <c r="B207" s="64" t="s">
        <v>263</v>
      </c>
      <c r="C207" s="64" t="s">
        <v>264</v>
      </c>
      <c r="D207" s="65" t="s">
        <v>265</v>
      </c>
      <c r="E207" s="58" t="s">
        <v>260</v>
      </c>
      <c r="F207" s="59" t="s">
        <v>267</v>
      </c>
      <c r="H207" s="66" t="s">
        <v>474</v>
      </c>
      <c r="I207" s="61" t="s">
        <v>250</v>
      </c>
      <c r="J207" s="62" t="s">
        <v>248</v>
      </c>
      <c r="K207" s="62" t="s">
        <v>249</v>
      </c>
      <c r="L207" s="67" t="s">
        <v>267</v>
      </c>
      <c r="M207">
        <v>2</v>
      </c>
    </row>
    <row r="208" spans="1:13" ht="16.5" thickBot="1" x14ac:dyDescent="0.3">
      <c r="A208" s="55" t="s">
        <v>475</v>
      </c>
      <c r="B208" s="74" t="s">
        <v>258</v>
      </c>
      <c r="C208" s="74" t="s">
        <v>259</v>
      </c>
      <c r="D208" s="75" t="s">
        <v>257</v>
      </c>
      <c r="E208" s="58" t="s">
        <v>260</v>
      </c>
      <c r="F208" s="59" t="s">
        <v>269</v>
      </c>
      <c r="H208" s="60" t="s">
        <v>475</v>
      </c>
      <c r="I208" s="61" t="s">
        <v>250</v>
      </c>
      <c r="J208" s="62" t="s">
        <v>248</v>
      </c>
      <c r="K208" s="62" t="s">
        <v>249</v>
      </c>
      <c r="L208" s="63" t="s">
        <v>269</v>
      </c>
      <c r="M208">
        <v>1</v>
      </c>
    </row>
    <row r="209" spans="1:13" ht="16.5" thickBot="1" x14ac:dyDescent="0.3">
      <c r="A209" s="55" t="s">
        <v>476</v>
      </c>
      <c r="B209" s="76" t="s">
        <v>264</v>
      </c>
      <c r="C209" s="76" t="s">
        <v>265</v>
      </c>
      <c r="D209" s="77" t="s">
        <v>263</v>
      </c>
      <c r="E209" s="58" t="s">
        <v>260</v>
      </c>
      <c r="F209" s="59" t="s">
        <v>271</v>
      </c>
      <c r="H209" s="66" t="s">
        <v>476</v>
      </c>
      <c r="I209" s="61" t="s">
        <v>249</v>
      </c>
      <c r="J209" s="62" t="s">
        <v>250</v>
      </c>
      <c r="K209" s="62" t="s">
        <v>248</v>
      </c>
      <c r="L209" s="67" t="s">
        <v>271</v>
      </c>
      <c r="M209">
        <v>2</v>
      </c>
    </row>
    <row r="210" spans="1:13" ht="16.5" thickBot="1" x14ac:dyDescent="0.3">
      <c r="A210" s="55" t="s">
        <v>477</v>
      </c>
      <c r="B210" s="74" t="s">
        <v>259</v>
      </c>
      <c r="C210" s="74" t="s">
        <v>257</v>
      </c>
      <c r="D210" s="75" t="s">
        <v>258</v>
      </c>
      <c r="E210" s="58" t="s">
        <v>260</v>
      </c>
      <c r="F210" s="59" t="s">
        <v>273</v>
      </c>
      <c r="H210" s="60" t="s">
        <v>477</v>
      </c>
      <c r="I210" s="61" t="s">
        <v>249</v>
      </c>
      <c r="J210" s="62" t="s">
        <v>250</v>
      </c>
      <c r="K210" s="62" t="s">
        <v>248</v>
      </c>
      <c r="L210" s="63" t="s">
        <v>273</v>
      </c>
      <c r="M210">
        <v>1</v>
      </c>
    </row>
    <row r="211" spans="1:13" ht="16.5" thickBot="1" x14ac:dyDescent="0.3">
      <c r="A211" s="55" t="s">
        <v>478</v>
      </c>
      <c r="B211" s="64" t="s">
        <v>265</v>
      </c>
      <c r="C211" s="64" t="s">
        <v>263</v>
      </c>
      <c r="D211" s="65" t="s">
        <v>264</v>
      </c>
      <c r="E211" s="58" t="s">
        <v>260</v>
      </c>
      <c r="F211" s="59" t="s">
        <v>275</v>
      </c>
      <c r="H211" s="66" t="s">
        <v>478</v>
      </c>
      <c r="I211" s="61" t="s">
        <v>248</v>
      </c>
      <c r="J211" s="62" t="s">
        <v>249</v>
      </c>
      <c r="K211" s="62" t="s">
        <v>250</v>
      </c>
      <c r="L211" s="67" t="s">
        <v>275</v>
      </c>
      <c r="M211">
        <v>2</v>
      </c>
    </row>
    <row r="212" spans="1:13" ht="16.5" thickBot="1" x14ac:dyDescent="0.3">
      <c r="A212" s="55" t="s">
        <v>479</v>
      </c>
      <c r="B212" s="74" t="s">
        <v>257</v>
      </c>
      <c r="C212" s="74" t="s">
        <v>258</v>
      </c>
      <c r="D212" s="75" t="s">
        <v>259</v>
      </c>
      <c r="E212" s="58" t="s">
        <v>260</v>
      </c>
      <c r="F212" s="59" t="s">
        <v>261</v>
      </c>
      <c r="H212" s="60" t="s">
        <v>479</v>
      </c>
      <c r="I212" s="61" t="s">
        <v>248</v>
      </c>
      <c r="J212" s="62" t="s">
        <v>249</v>
      </c>
      <c r="K212" s="62" t="s">
        <v>250</v>
      </c>
      <c r="L212" s="63" t="s">
        <v>261</v>
      </c>
      <c r="M212">
        <v>1</v>
      </c>
    </row>
    <row r="213" spans="1:13" ht="16.5" thickBot="1" x14ac:dyDescent="0.3">
      <c r="A213" s="55" t="s">
        <v>480</v>
      </c>
      <c r="B213" s="64" t="s">
        <v>263</v>
      </c>
      <c r="C213" s="64" t="s">
        <v>264</v>
      </c>
      <c r="D213" s="65" t="s">
        <v>265</v>
      </c>
      <c r="E213" s="58" t="s">
        <v>260</v>
      </c>
      <c r="F213" s="59" t="s">
        <v>245</v>
      </c>
      <c r="H213" s="66" t="s">
        <v>480</v>
      </c>
      <c r="I213" s="61" t="s">
        <v>250</v>
      </c>
      <c r="J213" s="62" t="s">
        <v>248</v>
      </c>
      <c r="K213" s="62" t="s">
        <v>249</v>
      </c>
      <c r="L213" s="67" t="s">
        <v>245</v>
      </c>
      <c r="M213">
        <v>1</v>
      </c>
    </row>
    <row r="214" spans="1:13" ht="16.5" thickBot="1" x14ac:dyDescent="0.3">
      <c r="A214" s="55" t="s">
        <v>481</v>
      </c>
      <c r="B214" s="74" t="s">
        <v>258</v>
      </c>
      <c r="C214" s="74" t="s">
        <v>259</v>
      </c>
      <c r="D214" s="75" t="s">
        <v>257</v>
      </c>
      <c r="E214" s="58" t="s">
        <v>260</v>
      </c>
      <c r="F214" s="59" t="s">
        <v>267</v>
      </c>
      <c r="H214" s="60" t="s">
        <v>481</v>
      </c>
      <c r="I214" s="61" t="s">
        <v>250</v>
      </c>
      <c r="J214" s="62" t="s">
        <v>248</v>
      </c>
      <c r="K214" s="62" t="s">
        <v>249</v>
      </c>
      <c r="L214" s="63" t="s">
        <v>267</v>
      </c>
      <c r="M214">
        <v>2</v>
      </c>
    </row>
    <row r="215" spans="1:13" ht="16.5" thickBot="1" x14ac:dyDescent="0.3">
      <c r="A215" s="55" t="s">
        <v>482</v>
      </c>
      <c r="B215" s="76" t="s">
        <v>264</v>
      </c>
      <c r="C215" s="76" t="s">
        <v>265</v>
      </c>
      <c r="D215" s="77" t="s">
        <v>263</v>
      </c>
      <c r="E215" s="58" t="s">
        <v>260</v>
      </c>
      <c r="F215" s="59" t="s">
        <v>269</v>
      </c>
      <c r="H215" s="66" t="s">
        <v>482</v>
      </c>
      <c r="I215" s="61" t="s">
        <v>249</v>
      </c>
      <c r="J215" s="62" t="s">
        <v>250</v>
      </c>
      <c r="K215" s="62" t="s">
        <v>248</v>
      </c>
      <c r="L215" s="67" t="s">
        <v>269</v>
      </c>
      <c r="M215">
        <v>1</v>
      </c>
    </row>
    <row r="216" spans="1:13" ht="16.5" thickBot="1" x14ac:dyDescent="0.3">
      <c r="A216" s="55" t="s">
        <v>483</v>
      </c>
      <c r="B216" s="74" t="s">
        <v>259</v>
      </c>
      <c r="C216" s="74" t="s">
        <v>257</v>
      </c>
      <c r="D216" s="75" t="s">
        <v>258</v>
      </c>
      <c r="E216" s="58" t="s">
        <v>260</v>
      </c>
      <c r="F216" s="59" t="s">
        <v>271</v>
      </c>
      <c r="H216" s="60" t="s">
        <v>483</v>
      </c>
      <c r="I216" s="61" t="s">
        <v>249</v>
      </c>
      <c r="J216" s="62" t="s">
        <v>250</v>
      </c>
      <c r="K216" s="62" t="s">
        <v>248</v>
      </c>
      <c r="L216" s="63" t="s">
        <v>271</v>
      </c>
      <c r="M216">
        <v>2</v>
      </c>
    </row>
    <row r="217" spans="1:13" ht="16.5" thickBot="1" x14ac:dyDescent="0.3">
      <c r="A217" s="55" t="s">
        <v>484</v>
      </c>
      <c r="B217" s="64" t="s">
        <v>265</v>
      </c>
      <c r="C217" s="64" t="s">
        <v>263</v>
      </c>
      <c r="D217" s="65" t="s">
        <v>264</v>
      </c>
      <c r="E217" s="58" t="s">
        <v>260</v>
      </c>
      <c r="F217" s="59" t="s">
        <v>273</v>
      </c>
      <c r="H217" s="66" t="s">
        <v>484</v>
      </c>
      <c r="I217" s="61" t="s">
        <v>248</v>
      </c>
      <c r="J217" s="62" t="s">
        <v>249</v>
      </c>
      <c r="K217" s="62" t="s">
        <v>250</v>
      </c>
      <c r="L217" s="67" t="s">
        <v>273</v>
      </c>
      <c r="M217">
        <v>1</v>
      </c>
    </row>
    <row r="218" spans="1:13" ht="16.5" thickBot="1" x14ac:dyDescent="0.3">
      <c r="A218" s="55" t="s">
        <v>485</v>
      </c>
      <c r="B218" s="74" t="s">
        <v>257</v>
      </c>
      <c r="C218" s="74" t="s">
        <v>258</v>
      </c>
      <c r="D218" s="75" t="s">
        <v>259</v>
      </c>
      <c r="E218" s="58" t="s">
        <v>260</v>
      </c>
      <c r="F218" s="59" t="s">
        <v>275</v>
      </c>
      <c r="H218" s="60" t="s">
        <v>485</v>
      </c>
      <c r="I218" s="61" t="s">
        <v>248</v>
      </c>
      <c r="J218" s="62" t="s">
        <v>249</v>
      </c>
      <c r="K218" s="62" t="s">
        <v>250</v>
      </c>
      <c r="L218" s="63" t="s">
        <v>275</v>
      </c>
      <c r="M218">
        <v>2</v>
      </c>
    </row>
    <row r="219" spans="1:13" ht="16.5" thickBot="1" x14ac:dyDescent="0.3">
      <c r="A219" s="55" t="s">
        <v>486</v>
      </c>
      <c r="B219" s="64" t="s">
        <v>263</v>
      </c>
      <c r="C219" s="64" t="s">
        <v>264</v>
      </c>
      <c r="D219" s="65" t="s">
        <v>265</v>
      </c>
      <c r="E219" s="58" t="s">
        <v>260</v>
      </c>
      <c r="F219" s="59" t="s">
        <v>261</v>
      </c>
      <c r="H219" s="66" t="s">
        <v>486</v>
      </c>
      <c r="I219" s="61" t="s">
        <v>250</v>
      </c>
      <c r="J219" s="62" t="s">
        <v>248</v>
      </c>
      <c r="K219" s="62" t="s">
        <v>249</v>
      </c>
      <c r="L219" s="67" t="s">
        <v>261</v>
      </c>
      <c r="M219">
        <v>1</v>
      </c>
    </row>
    <row r="220" spans="1:13" ht="16.5" thickBot="1" x14ac:dyDescent="0.3">
      <c r="A220" s="55" t="s">
        <v>487</v>
      </c>
      <c r="B220" s="74" t="s">
        <v>258</v>
      </c>
      <c r="C220" s="74" t="s">
        <v>259</v>
      </c>
      <c r="D220" s="75" t="s">
        <v>257</v>
      </c>
      <c r="E220" s="58" t="s">
        <v>260</v>
      </c>
      <c r="F220" s="59" t="s">
        <v>245</v>
      </c>
      <c r="H220" s="60" t="s">
        <v>487</v>
      </c>
      <c r="I220" s="61" t="s">
        <v>250</v>
      </c>
      <c r="J220" s="62" t="s">
        <v>248</v>
      </c>
      <c r="K220" s="62" t="s">
        <v>249</v>
      </c>
      <c r="L220" s="63" t="s">
        <v>245</v>
      </c>
      <c r="M220">
        <v>2</v>
      </c>
    </row>
    <row r="221" spans="1:13" ht="16.5" thickBot="1" x14ac:dyDescent="0.3">
      <c r="A221" s="55" t="s">
        <v>488</v>
      </c>
      <c r="B221" s="76" t="s">
        <v>264</v>
      </c>
      <c r="C221" s="76" t="s">
        <v>265</v>
      </c>
      <c r="D221" s="77" t="s">
        <v>263</v>
      </c>
      <c r="E221" s="58" t="s">
        <v>260</v>
      </c>
      <c r="F221" s="59" t="s">
        <v>267</v>
      </c>
      <c r="H221" s="66" t="s">
        <v>488</v>
      </c>
      <c r="I221" s="61" t="s">
        <v>249</v>
      </c>
      <c r="J221" s="62" t="s">
        <v>250</v>
      </c>
      <c r="K221" s="62" t="s">
        <v>248</v>
      </c>
      <c r="L221" s="67" t="s">
        <v>267</v>
      </c>
      <c r="M221">
        <v>1</v>
      </c>
    </row>
    <row r="222" spans="1:13" ht="16.5" thickBot="1" x14ac:dyDescent="0.3">
      <c r="A222" s="55" t="s">
        <v>489</v>
      </c>
      <c r="B222" s="74" t="s">
        <v>259</v>
      </c>
      <c r="C222" s="74" t="s">
        <v>257</v>
      </c>
      <c r="D222" s="75" t="s">
        <v>258</v>
      </c>
      <c r="E222" s="58" t="s">
        <v>260</v>
      </c>
      <c r="F222" s="59" t="s">
        <v>269</v>
      </c>
      <c r="H222" s="60" t="s">
        <v>489</v>
      </c>
      <c r="I222" s="61" t="s">
        <v>249</v>
      </c>
      <c r="J222" s="62" t="s">
        <v>250</v>
      </c>
      <c r="K222" s="62" t="s">
        <v>248</v>
      </c>
      <c r="L222" s="63" t="s">
        <v>269</v>
      </c>
      <c r="M222">
        <v>2</v>
      </c>
    </row>
    <row r="223" spans="1:13" ht="16.5" thickBot="1" x14ac:dyDescent="0.3">
      <c r="A223" s="55" t="s">
        <v>490</v>
      </c>
      <c r="B223" s="64" t="s">
        <v>265</v>
      </c>
      <c r="C223" s="64" t="s">
        <v>263</v>
      </c>
      <c r="D223" s="65" t="s">
        <v>264</v>
      </c>
      <c r="E223" s="58" t="s">
        <v>260</v>
      </c>
      <c r="F223" s="59" t="s">
        <v>271</v>
      </c>
      <c r="H223" s="66" t="s">
        <v>490</v>
      </c>
      <c r="I223" s="61" t="s">
        <v>248</v>
      </c>
      <c r="J223" s="62" t="s">
        <v>249</v>
      </c>
      <c r="K223" s="62" t="s">
        <v>250</v>
      </c>
      <c r="L223" s="67" t="s">
        <v>271</v>
      </c>
      <c r="M223">
        <v>1</v>
      </c>
    </row>
    <row r="224" spans="1:13" ht="16.5" thickBot="1" x14ac:dyDescent="0.3">
      <c r="A224" s="55" t="s">
        <v>491</v>
      </c>
      <c r="B224" s="74" t="s">
        <v>257</v>
      </c>
      <c r="C224" s="74" t="s">
        <v>258</v>
      </c>
      <c r="D224" s="75" t="s">
        <v>259</v>
      </c>
      <c r="E224" s="58" t="s">
        <v>260</v>
      </c>
      <c r="F224" s="59" t="s">
        <v>273</v>
      </c>
      <c r="H224" s="60" t="s">
        <v>491</v>
      </c>
      <c r="I224" s="61" t="s">
        <v>248</v>
      </c>
      <c r="J224" s="62" t="s">
        <v>249</v>
      </c>
      <c r="K224" s="62" t="s">
        <v>250</v>
      </c>
      <c r="L224" s="63" t="s">
        <v>273</v>
      </c>
      <c r="M224">
        <v>2</v>
      </c>
    </row>
    <row r="225" spans="1:13" ht="16.5" thickBot="1" x14ac:dyDescent="0.3">
      <c r="A225" s="55" t="s">
        <v>492</v>
      </c>
      <c r="B225" s="64" t="s">
        <v>263</v>
      </c>
      <c r="C225" s="64" t="s">
        <v>264</v>
      </c>
      <c r="D225" s="65" t="s">
        <v>265</v>
      </c>
      <c r="E225" s="58" t="s">
        <v>260</v>
      </c>
      <c r="F225" s="59" t="s">
        <v>275</v>
      </c>
      <c r="H225" s="66" t="s">
        <v>492</v>
      </c>
      <c r="I225" s="61" t="s">
        <v>250</v>
      </c>
      <c r="J225" s="62" t="s">
        <v>248</v>
      </c>
      <c r="K225" s="62" t="s">
        <v>249</v>
      </c>
      <c r="L225" s="67" t="s">
        <v>275</v>
      </c>
      <c r="M225">
        <v>1</v>
      </c>
    </row>
    <row r="226" spans="1:13" ht="16.5" thickBot="1" x14ac:dyDescent="0.3">
      <c r="A226" s="55" t="s">
        <v>493</v>
      </c>
      <c r="B226" s="74" t="s">
        <v>258</v>
      </c>
      <c r="C226" s="74" t="s">
        <v>259</v>
      </c>
      <c r="D226" s="75" t="s">
        <v>257</v>
      </c>
      <c r="E226" s="58" t="s">
        <v>260</v>
      </c>
      <c r="F226" s="59" t="s">
        <v>261</v>
      </c>
      <c r="H226" s="60" t="s">
        <v>493</v>
      </c>
      <c r="I226" s="61" t="s">
        <v>250</v>
      </c>
      <c r="J226" s="62" t="s">
        <v>248</v>
      </c>
      <c r="K226" s="62" t="s">
        <v>249</v>
      </c>
      <c r="L226" s="63" t="s">
        <v>261</v>
      </c>
      <c r="M226">
        <v>2</v>
      </c>
    </row>
    <row r="227" spans="1:13" ht="16.5" thickBot="1" x14ac:dyDescent="0.3">
      <c r="A227" s="55" t="s">
        <v>494</v>
      </c>
      <c r="B227" s="76" t="s">
        <v>264</v>
      </c>
      <c r="C227" s="76" t="s">
        <v>265</v>
      </c>
      <c r="D227" s="77" t="s">
        <v>263</v>
      </c>
      <c r="E227" s="58" t="s">
        <v>260</v>
      </c>
      <c r="F227" s="59" t="s">
        <v>245</v>
      </c>
      <c r="H227" s="78" t="s">
        <v>494</v>
      </c>
      <c r="I227" s="79" t="s">
        <v>249</v>
      </c>
      <c r="J227" s="80" t="s">
        <v>250</v>
      </c>
      <c r="K227" s="80" t="s">
        <v>248</v>
      </c>
      <c r="L227" s="81" t="s">
        <v>245</v>
      </c>
      <c r="M227">
        <v>1</v>
      </c>
    </row>
    <row r="228" spans="1:13" ht="16.5" thickBot="1" x14ac:dyDescent="0.3">
      <c r="A228" s="55" t="s">
        <v>719</v>
      </c>
      <c r="B228" s="74" t="s">
        <v>259</v>
      </c>
      <c r="C228" s="74" t="s">
        <v>257</v>
      </c>
      <c r="D228" s="75" t="s">
        <v>258</v>
      </c>
      <c r="E228" s="58" t="s">
        <v>260</v>
      </c>
      <c r="F228" s="59" t="s">
        <v>267</v>
      </c>
      <c r="H228" s="66" t="s">
        <v>719</v>
      </c>
      <c r="I228" s="61" t="s">
        <v>249</v>
      </c>
      <c r="J228" s="62" t="s">
        <v>250</v>
      </c>
      <c r="K228" s="62" t="s">
        <v>248</v>
      </c>
      <c r="L228" s="67" t="s">
        <v>267</v>
      </c>
      <c r="M228">
        <v>1</v>
      </c>
    </row>
    <row r="229" spans="1:13" ht="16.5" thickBot="1" x14ac:dyDescent="0.3">
      <c r="A229" s="55" t="s">
        <v>720</v>
      </c>
      <c r="B229" s="64" t="s">
        <v>265</v>
      </c>
      <c r="C229" s="64" t="s">
        <v>263</v>
      </c>
      <c r="D229" s="65" t="s">
        <v>264</v>
      </c>
      <c r="E229" s="58" t="s">
        <v>260</v>
      </c>
      <c r="F229" s="59" t="s">
        <v>269</v>
      </c>
      <c r="H229" s="66" t="s">
        <v>720</v>
      </c>
      <c r="I229" s="61" t="s">
        <v>249</v>
      </c>
      <c r="J229" s="62" t="s">
        <v>250</v>
      </c>
      <c r="K229" s="62" t="s">
        <v>248</v>
      </c>
      <c r="L229" s="63" t="s">
        <v>269</v>
      </c>
      <c r="M229">
        <v>2</v>
      </c>
    </row>
    <row r="230" spans="1:13" ht="16.5" thickBot="1" x14ac:dyDescent="0.3">
      <c r="A230" s="55" t="s">
        <v>721</v>
      </c>
      <c r="B230" s="74" t="s">
        <v>257</v>
      </c>
      <c r="C230" s="74" t="s">
        <v>258</v>
      </c>
      <c r="D230" s="75" t="s">
        <v>259</v>
      </c>
      <c r="E230" s="58" t="s">
        <v>260</v>
      </c>
      <c r="F230" s="59" t="s">
        <v>271</v>
      </c>
      <c r="H230" s="66" t="s">
        <v>721</v>
      </c>
      <c r="I230" s="61" t="s">
        <v>248</v>
      </c>
      <c r="J230" s="62" t="s">
        <v>249</v>
      </c>
      <c r="K230" s="62" t="s">
        <v>250</v>
      </c>
      <c r="L230" s="67" t="s">
        <v>271</v>
      </c>
      <c r="M230">
        <v>1</v>
      </c>
    </row>
    <row r="231" spans="1:13" ht="16.5" thickBot="1" x14ac:dyDescent="0.3">
      <c r="A231" s="55" t="s">
        <v>722</v>
      </c>
      <c r="B231" s="64" t="s">
        <v>263</v>
      </c>
      <c r="C231" s="64" t="s">
        <v>264</v>
      </c>
      <c r="D231" s="65" t="s">
        <v>265</v>
      </c>
      <c r="E231" s="58" t="s">
        <v>260</v>
      </c>
      <c r="F231" s="59" t="s">
        <v>273</v>
      </c>
      <c r="H231" s="66" t="s">
        <v>722</v>
      </c>
      <c r="I231" s="61" t="s">
        <v>248</v>
      </c>
      <c r="J231" s="62" t="s">
        <v>249</v>
      </c>
      <c r="K231" s="62" t="s">
        <v>250</v>
      </c>
      <c r="L231" s="63" t="s">
        <v>273</v>
      </c>
      <c r="M231">
        <v>2</v>
      </c>
    </row>
    <row r="232" spans="1:13" ht="16.5" thickBot="1" x14ac:dyDescent="0.3">
      <c r="A232" s="55" t="s">
        <v>723</v>
      </c>
      <c r="B232" s="74" t="s">
        <v>258</v>
      </c>
      <c r="C232" s="74" t="s">
        <v>259</v>
      </c>
      <c r="D232" s="75" t="s">
        <v>257</v>
      </c>
      <c r="E232" s="58" t="s">
        <v>260</v>
      </c>
      <c r="F232" s="59" t="s">
        <v>275</v>
      </c>
      <c r="H232" s="66" t="s">
        <v>723</v>
      </c>
      <c r="I232" s="61" t="s">
        <v>250</v>
      </c>
      <c r="J232" s="62" t="s">
        <v>248</v>
      </c>
      <c r="K232" s="62" t="s">
        <v>249</v>
      </c>
      <c r="L232" s="67" t="s">
        <v>275</v>
      </c>
      <c r="M232">
        <v>1</v>
      </c>
    </row>
    <row r="233" spans="1:13" ht="16.5" thickBot="1" x14ac:dyDescent="0.3">
      <c r="A233" s="55" t="s">
        <v>724</v>
      </c>
      <c r="B233" s="76" t="s">
        <v>264</v>
      </c>
      <c r="C233" s="76" t="s">
        <v>265</v>
      </c>
      <c r="D233" s="77" t="s">
        <v>263</v>
      </c>
      <c r="E233" s="58" t="s">
        <v>260</v>
      </c>
      <c r="F233" s="59" t="s">
        <v>261</v>
      </c>
      <c r="H233" s="66" t="s">
        <v>724</v>
      </c>
      <c r="I233" s="61" t="s">
        <v>250</v>
      </c>
      <c r="J233" s="62" t="s">
        <v>248</v>
      </c>
      <c r="K233" s="62" t="s">
        <v>249</v>
      </c>
      <c r="L233" s="63" t="s">
        <v>261</v>
      </c>
      <c r="M233">
        <v>2</v>
      </c>
    </row>
    <row r="234" spans="1:13" ht="16.5" thickBot="1" x14ac:dyDescent="0.3">
      <c r="A234" s="55" t="s">
        <v>725</v>
      </c>
      <c r="B234" s="74" t="s">
        <v>259</v>
      </c>
      <c r="C234" s="74" t="s">
        <v>257</v>
      </c>
      <c r="D234" s="75" t="s">
        <v>258</v>
      </c>
      <c r="E234" s="58" t="s">
        <v>260</v>
      </c>
      <c r="F234" s="59" t="s">
        <v>245</v>
      </c>
      <c r="H234" s="66" t="s">
        <v>725</v>
      </c>
      <c r="I234" s="79" t="s">
        <v>249</v>
      </c>
      <c r="J234" s="80" t="s">
        <v>250</v>
      </c>
      <c r="K234" s="80" t="s">
        <v>248</v>
      </c>
      <c r="L234" s="81" t="s">
        <v>245</v>
      </c>
      <c r="M234">
        <v>1</v>
      </c>
    </row>
    <row r="235" spans="1:13" ht="16.5" thickBot="1" x14ac:dyDescent="0.3">
      <c r="A235" s="55" t="s">
        <v>726</v>
      </c>
      <c r="B235" s="64" t="s">
        <v>265</v>
      </c>
      <c r="C235" s="64" t="s">
        <v>263</v>
      </c>
      <c r="D235" s="65" t="s">
        <v>264</v>
      </c>
      <c r="E235" s="58" t="s">
        <v>260</v>
      </c>
      <c r="F235" s="59" t="s">
        <v>267</v>
      </c>
      <c r="H235" s="66" t="s">
        <v>726</v>
      </c>
      <c r="I235" s="61" t="s">
        <v>249</v>
      </c>
      <c r="J235" s="62" t="s">
        <v>250</v>
      </c>
      <c r="K235" s="62" t="s">
        <v>248</v>
      </c>
      <c r="L235" s="67" t="s">
        <v>267</v>
      </c>
      <c r="M235">
        <v>2</v>
      </c>
    </row>
    <row r="236" spans="1:13" ht="16.5" thickBot="1" x14ac:dyDescent="0.3">
      <c r="A236" s="55" t="s">
        <v>727</v>
      </c>
      <c r="B236" s="74" t="s">
        <v>257</v>
      </c>
      <c r="C236" s="74" t="s">
        <v>258</v>
      </c>
      <c r="D236" s="75" t="s">
        <v>259</v>
      </c>
      <c r="E236" s="58" t="s">
        <v>260</v>
      </c>
      <c r="F236" s="59" t="s">
        <v>269</v>
      </c>
      <c r="H236" s="66" t="s">
        <v>727</v>
      </c>
      <c r="I236" s="61" t="s">
        <v>249</v>
      </c>
      <c r="J236" s="62" t="s">
        <v>250</v>
      </c>
      <c r="K236" s="62" t="s">
        <v>248</v>
      </c>
      <c r="L236" s="63" t="s">
        <v>269</v>
      </c>
      <c r="M236">
        <v>1</v>
      </c>
    </row>
    <row r="237" spans="1:13" ht="16.5" thickBot="1" x14ac:dyDescent="0.3">
      <c r="A237" s="55" t="s">
        <v>728</v>
      </c>
      <c r="B237" s="64" t="s">
        <v>263</v>
      </c>
      <c r="C237" s="64" t="s">
        <v>264</v>
      </c>
      <c r="D237" s="65" t="s">
        <v>265</v>
      </c>
      <c r="E237" s="58" t="s">
        <v>260</v>
      </c>
      <c r="F237" s="59" t="s">
        <v>271</v>
      </c>
      <c r="H237" s="66" t="s">
        <v>728</v>
      </c>
      <c r="I237" s="61" t="s">
        <v>248</v>
      </c>
      <c r="J237" s="62" t="s">
        <v>249</v>
      </c>
      <c r="K237" s="62" t="s">
        <v>250</v>
      </c>
      <c r="L237" s="67" t="s">
        <v>271</v>
      </c>
      <c r="M237">
        <v>2</v>
      </c>
    </row>
    <row r="238" spans="1:13" ht="16.5" thickBot="1" x14ac:dyDescent="0.3">
      <c r="A238" s="55" t="s">
        <v>729</v>
      </c>
      <c r="B238" s="74" t="s">
        <v>258</v>
      </c>
      <c r="C238" s="74" t="s">
        <v>259</v>
      </c>
      <c r="D238" s="75" t="s">
        <v>257</v>
      </c>
      <c r="E238" s="58" t="s">
        <v>260</v>
      </c>
      <c r="F238" s="59" t="s">
        <v>273</v>
      </c>
      <c r="H238" s="66" t="s">
        <v>729</v>
      </c>
      <c r="I238" s="61" t="s">
        <v>248</v>
      </c>
      <c r="J238" s="62" t="s">
        <v>249</v>
      </c>
      <c r="K238" s="62" t="s">
        <v>250</v>
      </c>
      <c r="L238" s="63" t="s">
        <v>273</v>
      </c>
      <c r="M238">
        <v>1</v>
      </c>
    </row>
    <row r="239" spans="1:13" ht="16.5" thickBot="1" x14ac:dyDescent="0.3">
      <c r="A239" s="55" t="s">
        <v>730</v>
      </c>
      <c r="B239" s="76" t="s">
        <v>264</v>
      </c>
      <c r="C239" s="76" t="s">
        <v>265</v>
      </c>
      <c r="D239" s="77" t="s">
        <v>263</v>
      </c>
      <c r="E239" s="58" t="s">
        <v>260</v>
      </c>
      <c r="F239" s="59" t="s">
        <v>275</v>
      </c>
      <c r="H239" s="66" t="s">
        <v>730</v>
      </c>
      <c r="I239" s="61" t="s">
        <v>250</v>
      </c>
      <c r="J239" s="62" t="s">
        <v>248</v>
      </c>
      <c r="K239" s="62" t="s">
        <v>249</v>
      </c>
      <c r="L239" s="67" t="s">
        <v>275</v>
      </c>
      <c r="M239">
        <v>2</v>
      </c>
    </row>
    <row r="240" spans="1:13" ht="16.5" thickBot="1" x14ac:dyDescent="0.3">
      <c r="A240" s="55" t="s">
        <v>731</v>
      </c>
      <c r="B240" s="74" t="s">
        <v>259</v>
      </c>
      <c r="C240" s="74" t="s">
        <v>257</v>
      </c>
      <c r="D240" s="75" t="s">
        <v>258</v>
      </c>
      <c r="E240" s="58" t="s">
        <v>260</v>
      </c>
      <c r="F240" s="59" t="s">
        <v>261</v>
      </c>
      <c r="H240" s="66" t="s">
        <v>731</v>
      </c>
      <c r="I240" s="61" t="s">
        <v>249</v>
      </c>
      <c r="J240" s="62" t="s">
        <v>250</v>
      </c>
      <c r="K240" s="62" t="s">
        <v>248</v>
      </c>
      <c r="L240" s="63" t="s">
        <v>261</v>
      </c>
      <c r="M240">
        <v>1</v>
      </c>
    </row>
    <row r="241" spans="1:13" ht="16.5" thickBot="1" x14ac:dyDescent="0.3">
      <c r="A241" s="55" t="s">
        <v>732</v>
      </c>
      <c r="B241" s="64" t="s">
        <v>265</v>
      </c>
      <c r="C241" s="64" t="s">
        <v>263</v>
      </c>
      <c r="D241" s="65" t="s">
        <v>264</v>
      </c>
      <c r="E241" s="58" t="s">
        <v>260</v>
      </c>
      <c r="F241" s="59" t="s">
        <v>245</v>
      </c>
      <c r="H241" s="66" t="s">
        <v>732</v>
      </c>
      <c r="I241" s="61" t="s">
        <v>249</v>
      </c>
      <c r="J241" s="62" t="s">
        <v>250</v>
      </c>
      <c r="K241" s="62" t="s">
        <v>248</v>
      </c>
      <c r="L241" s="81" t="s">
        <v>245</v>
      </c>
      <c r="M241">
        <v>2</v>
      </c>
    </row>
    <row r="242" spans="1:13" ht="16.5" thickBot="1" x14ac:dyDescent="0.3">
      <c r="A242" s="55" t="s">
        <v>733</v>
      </c>
      <c r="B242" s="74" t="s">
        <v>257</v>
      </c>
      <c r="C242" s="74" t="s">
        <v>258</v>
      </c>
      <c r="D242" s="75" t="s">
        <v>259</v>
      </c>
      <c r="E242" s="58" t="s">
        <v>260</v>
      </c>
      <c r="F242" s="59" t="s">
        <v>267</v>
      </c>
      <c r="H242" s="66" t="s">
        <v>733</v>
      </c>
      <c r="I242" s="61" t="s">
        <v>248</v>
      </c>
      <c r="J242" s="62" t="s">
        <v>249</v>
      </c>
      <c r="K242" s="62" t="s">
        <v>250</v>
      </c>
      <c r="L242" s="67" t="s">
        <v>267</v>
      </c>
      <c r="M242">
        <v>1</v>
      </c>
    </row>
    <row r="243" spans="1:13" ht="16.5" thickBot="1" x14ac:dyDescent="0.3">
      <c r="A243" s="55" t="s">
        <v>734</v>
      </c>
      <c r="B243" s="64" t="s">
        <v>263</v>
      </c>
      <c r="C243" s="64" t="s">
        <v>264</v>
      </c>
      <c r="D243" s="65" t="s">
        <v>265</v>
      </c>
      <c r="E243" s="58" t="s">
        <v>260</v>
      </c>
      <c r="F243" s="59" t="s">
        <v>269</v>
      </c>
      <c r="H243" s="66" t="s">
        <v>734</v>
      </c>
      <c r="I243" s="61" t="s">
        <v>248</v>
      </c>
      <c r="J243" s="62" t="s">
        <v>249</v>
      </c>
      <c r="K243" s="62" t="s">
        <v>250</v>
      </c>
      <c r="L243" s="63" t="s">
        <v>269</v>
      </c>
      <c r="M243">
        <v>1</v>
      </c>
    </row>
    <row r="244" spans="1:13" ht="16.5" thickBot="1" x14ac:dyDescent="0.3">
      <c r="A244" s="55" t="s">
        <v>735</v>
      </c>
      <c r="B244" s="74" t="s">
        <v>258</v>
      </c>
      <c r="C244" s="74" t="s">
        <v>259</v>
      </c>
      <c r="D244" s="75" t="s">
        <v>257</v>
      </c>
      <c r="E244" s="58" t="s">
        <v>260</v>
      </c>
      <c r="F244" s="59" t="s">
        <v>271</v>
      </c>
      <c r="H244" s="66" t="s">
        <v>735</v>
      </c>
      <c r="I244" s="61" t="s">
        <v>250</v>
      </c>
      <c r="J244" s="62" t="s">
        <v>248</v>
      </c>
      <c r="K244" s="62" t="s">
        <v>249</v>
      </c>
      <c r="L244" s="67" t="s">
        <v>271</v>
      </c>
      <c r="M244">
        <v>2</v>
      </c>
    </row>
    <row r="245" spans="1:13" ht="16.5" thickBot="1" x14ac:dyDescent="0.3">
      <c r="A245" s="55" t="s">
        <v>736</v>
      </c>
      <c r="B245" s="76" t="s">
        <v>264</v>
      </c>
      <c r="C245" s="76" t="s">
        <v>265</v>
      </c>
      <c r="D245" s="77" t="s">
        <v>263</v>
      </c>
      <c r="E245" s="58" t="s">
        <v>260</v>
      </c>
      <c r="F245" s="59" t="s">
        <v>273</v>
      </c>
      <c r="H245" s="66" t="s">
        <v>736</v>
      </c>
      <c r="I245" s="61" t="s">
        <v>250</v>
      </c>
      <c r="J245" s="62" t="s">
        <v>248</v>
      </c>
      <c r="K245" s="62" t="s">
        <v>249</v>
      </c>
      <c r="L245" s="63" t="s">
        <v>273</v>
      </c>
      <c r="M245">
        <v>1</v>
      </c>
    </row>
    <row r="246" spans="1:13" ht="16.5" thickBot="1" x14ac:dyDescent="0.3">
      <c r="A246" s="55" t="s">
        <v>737</v>
      </c>
      <c r="B246" s="74" t="s">
        <v>259</v>
      </c>
      <c r="C246" s="74" t="s">
        <v>257</v>
      </c>
      <c r="D246" s="75" t="s">
        <v>258</v>
      </c>
      <c r="E246" s="58" t="s">
        <v>260</v>
      </c>
      <c r="F246" s="59" t="s">
        <v>275</v>
      </c>
      <c r="H246" s="66" t="s">
        <v>737</v>
      </c>
      <c r="I246" s="79" t="s">
        <v>249</v>
      </c>
      <c r="J246" s="80" t="s">
        <v>250</v>
      </c>
      <c r="K246" s="80" t="s">
        <v>248</v>
      </c>
      <c r="L246" s="67" t="s">
        <v>275</v>
      </c>
      <c r="M246">
        <v>2</v>
      </c>
    </row>
    <row r="247" spans="1:13" ht="16.5" thickBot="1" x14ac:dyDescent="0.3">
      <c r="A247" s="55" t="s">
        <v>738</v>
      </c>
      <c r="B247" s="64" t="s">
        <v>265</v>
      </c>
      <c r="C247" s="64" t="s">
        <v>263</v>
      </c>
      <c r="D247" s="65" t="s">
        <v>264</v>
      </c>
      <c r="E247" s="58" t="s">
        <v>260</v>
      </c>
      <c r="F247" s="59" t="s">
        <v>261</v>
      </c>
      <c r="H247" s="66" t="s">
        <v>738</v>
      </c>
      <c r="I247" s="61" t="s">
        <v>249</v>
      </c>
      <c r="J247" s="62" t="s">
        <v>250</v>
      </c>
      <c r="K247" s="62" t="s">
        <v>248</v>
      </c>
      <c r="L247" s="63" t="s">
        <v>261</v>
      </c>
      <c r="M247">
        <v>1</v>
      </c>
    </row>
    <row r="248" spans="1:13" ht="16.5" thickBot="1" x14ac:dyDescent="0.3">
      <c r="A248" s="55" t="s">
        <v>739</v>
      </c>
      <c r="B248" s="74" t="s">
        <v>257</v>
      </c>
      <c r="C248" s="74" t="s">
        <v>258</v>
      </c>
      <c r="D248" s="75" t="s">
        <v>259</v>
      </c>
      <c r="E248" s="58" t="s">
        <v>260</v>
      </c>
      <c r="F248" s="59" t="s">
        <v>245</v>
      </c>
      <c r="H248" s="66" t="s">
        <v>739</v>
      </c>
      <c r="I248" s="61" t="s">
        <v>249</v>
      </c>
      <c r="J248" s="62" t="s">
        <v>250</v>
      </c>
      <c r="K248" s="62" t="s">
        <v>248</v>
      </c>
      <c r="L248" s="81" t="s">
        <v>245</v>
      </c>
      <c r="M248">
        <v>2</v>
      </c>
    </row>
    <row r="249" spans="1:13" ht="16.5" thickBot="1" x14ac:dyDescent="0.3">
      <c r="A249" s="55" t="s">
        <v>740</v>
      </c>
      <c r="B249" s="64" t="s">
        <v>263</v>
      </c>
      <c r="C249" s="64" t="s">
        <v>264</v>
      </c>
      <c r="D249" s="65" t="s">
        <v>265</v>
      </c>
      <c r="E249" s="58" t="s">
        <v>260</v>
      </c>
      <c r="F249" s="59" t="s">
        <v>267</v>
      </c>
      <c r="H249" s="66" t="s">
        <v>740</v>
      </c>
      <c r="I249" s="61" t="s">
        <v>248</v>
      </c>
      <c r="J249" s="62" t="s">
        <v>249</v>
      </c>
      <c r="K249" s="62" t="s">
        <v>250</v>
      </c>
      <c r="L249" s="67" t="s">
        <v>267</v>
      </c>
      <c r="M249">
        <v>1</v>
      </c>
    </row>
    <row r="250" spans="1:13" ht="16.5" thickBot="1" x14ac:dyDescent="0.3">
      <c r="A250" s="55" t="s">
        <v>741</v>
      </c>
      <c r="B250" s="74" t="s">
        <v>258</v>
      </c>
      <c r="C250" s="74" t="s">
        <v>259</v>
      </c>
      <c r="D250" s="75" t="s">
        <v>257</v>
      </c>
      <c r="E250" s="58" t="s">
        <v>260</v>
      </c>
      <c r="F250" s="59" t="s">
        <v>269</v>
      </c>
      <c r="H250" s="66" t="s">
        <v>741</v>
      </c>
      <c r="I250" s="61" t="s">
        <v>248</v>
      </c>
      <c r="J250" s="62" t="s">
        <v>249</v>
      </c>
      <c r="K250" s="62" t="s">
        <v>250</v>
      </c>
      <c r="L250" s="63" t="s">
        <v>269</v>
      </c>
      <c r="M250">
        <v>2</v>
      </c>
    </row>
    <row r="251" spans="1:13" ht="16.5" thickBot="1" x14ac:dyDescent="0.3">
      <c r="A251" s="55" t="s">
        <v>742</v>
      </c>
      <c r="B251" s="76" t="s">
        <v>264</v>
      </c>
      <c r="C251" s="76" t="s">
        <v>265</v>
      </c>
      <c r="D251" s="77" t="s">
        <v>263</v>
      </c>
      <c r="E251" s="58" t="s">
        <v>260</v>
      </c>
      <c r="F251" s="59" t="s">
        <v>271</v>
      </c>
      <c r="H251" s="66" t="s">
        <v>742</v>
      </c>
      <c r="I251" s="61" t="s">
        <v>250</v>
      </c>
      <c r="J251" s="62" t="s">
        <v>248</v>
      </c>
      <c r="K251" s="62" t="s">
        <v>249</v>
      </c>
      <c r="L251" s="67" t="s">
        <v>271</v>
      </c>
      <c r="M251">
        <v>1</v>
      </c>
    </row>
    <row r="252" spans="1:13" ht="16.5" thickBot="1" x14ac:dyDescent="0.3">
      <c r="A252" s="55" t="s">
        <v>743</v>
      </c>
      <c r="B252" s="74" t="s">
        <v>259</v>
      </c>
      <c r="C252" s="74" t="s">
        <v>257</v>
      </c>
      <c r="D252" s="75" t="s">
        <v>258</v>
      </c>
      <c r="E252" s="58" t="s">
        <v>260</v>
      </c>
      <c r="F252" s="59" t="s">
        <v>273</v>
      </c>
      <c r="H252" s="66" t="s">
        <v>743</v>
      </c>
      <c r="I252" s="61" t="s">
        <v>250</v>
      </c>
      <c r="J252" s="62" t="s">
        <v>248</v>
      </c>
      <c r="K252" s="62" t="s">
        <v>249</v>
      </c>
      <c r="L252" s="63" t="s">
        <v>273</v>
      </c>
      <c r="M252">
        <v>2</v>
      </c>
    </row>
    <row r="253" spans="1:13" ht="16.5" thickBot="1" x14ac:dyDescent="0.3">
      <c r="A253" s="55" t="s">
        <v>744</v>
      </c>
      <c r="B253" s="64" t="s">
        <v>265</v>
      </c>
      <c r="C253" s="64" t="s">
        <v>263</v>
      </c>
      <c r="D253" s="65" t="s">
        <v>264</v>
      </c>
      <c r="E253" s="58" t="s">
        <v>260</v>
      </c>
      <c r="F253" s="59" t="s">
        <v>275</v>
      </c>
      <c r="H253" s="66" t="s">
        <v>744</v>
      </c>
      <c r="I253" s="79" t="s">
        <v>249</v>
      </c>
      <c r="J253" s="80" t="s">
        <v>250</v>
      </c>
      <c r="K253" s="80" t="s">
        <v>248</v>
      </c>
      <c r="L253" s="67" t="s">
        <v>275</v>
      </c>
      <c r="M253">
        <v>1</v>
      </c>
    </row>
    <row r="254" spans="1:13" ht="16.5" thickBot="1" x14ac:dyDescent="0.3">
      <c r="A254" s="55" t="s">
        <v>745</v>
      </c>
      <c r="B254" s="74" t="s">
        <v>257</v>
      </c>
      <c r="C254" s="74" t="s">
        <v>258</v>
      </c>
      <c r="D254" s="75" t="s">
        <v>259</v>
      </c>
      <c r="E254" s="58" t="s">
        <v>260</v>
      </c>
      <c r="F254" s="59" t="s">
        <v>261</v>
      </c>
      <c r="H254" s="66" t="s">
        <v>745</v>
      </c>
      <c r="I254" s="61" t="s">
        <v>249</v>
      </c>
      <c r="J254" s="62" t="s">
        <v>250</v>
      </c>
      <c r="K254" s="62" t="s">
        <v>248</v>
      </c>
      <c r="L254" s="63" t="s">
        <v>261</v>
      </c>
      <c r="M254">
        <v>2</v>
      </c>
    </row>
    <row r="255" spans="1:13" ht="16.5" thickBot="1" x14ac:dyDescent="0.3">
      <c r="A255" s="55" t="s">
        <v>746</v>
      </c>
      <c r="B255" s="64" t="s">
        <v>263</v>
      </c>
      <c r="C255" s="64" t="s">
        <v>264</v>
      </c>
      <c r="D255" s="65" t="s">
        <v>265</v>
      </c>
      <c r="E255" s="58" t="s">
        <v>260</v>
      </c>
      <c r="F255" s="59" t="s">
        <v>245</v>
      </c>
      <c r="H255" s="66" t="s">
        <v>746</v>
      </c>
      <c r="I255" s="61" t="s">
        <v>249</v>
      </c>
      <c r="J255" s="62" t="s">
        <v>250</v>
      </c>
      <c r="K255" s="62" t="s">
        <v>248</v>
      </c>
      <c r="L255" s="81" t="s">
        <v>245</v>
      </c>
      <c r="M255">
        <v>1</v>
      </c>
    </row>
    <row r="256" spans="1:13" ht="16.5" thickBot="1" x14ac:dyDescent="0.3">
      <c r="A256" s="55" t="s">
        <v>747</v>
      </c>
      <c r="B256" s="74" t="s">
        <v>258</v>
      </c>
      <c r="C256" s="74" t="s">
        <v>259</v>
      </c>
      <c r="D256" s="75" t="s">
        <v>257</v>
      </c>
      <c r="E256" s="58" t="s">
        <v>260</v>
      </c>
      <c r="F256" s="59" t="s">
        <v>267</v>
      </c>
      <c r="H256" s="66" t="s">
        <v>747</v>
      </c>
      <c r="I256" s="61" t="s">
        <v>248</v>
      </c>
      <c r="J256" s="62" t="s">
        <v>249</v>
      </c>
      <c r="K256" s="62" t="s">
        <v>250</v>
      </c>
      <c r="L256" s="67" t="s">
        <v>267</v>
      </c>
      <c r="M256">
        <v>2</v>
      </c>
    </row>
    <row r="257" spans="1:13" ht="16.5" thickBot="1" x14ac:dyDescent="0.3">
      <c r="A257" s="55" t="s">
        <v>748</v>
      </c>
      <c r="B257" s="76" t="s">
        <v>264</v>
      </c>
      <c r="C257" s="76" t="s">
        <v>265</v>
      </c>
      <c r="D257" s="77" t="s">
        <v>263</v>
      </c>
      <c r="E257" s="58" t="s">
        <v>260</v>
      </c>
      <c r="F257" s="59" t="s">
        <v>269</v>
      </c>
      <c r="H257" s="66" t="s">
        <v>748</v>
      </c>
      <c r="I257" s="61" t="s">
        <v>248</v>
      </c>
      <c r="J257" s="62" t="s">
        <v>249</v>
      </c>
      <c r="K257" s="62" t="s">
        <v>250</v>
      </c>
      <c r="L257" s="63" t="s">
        <v>269</v>
      </c>
      <c r="M257">
        <v>1</v>
      </c>
    </row>
    <row r="258" spans="1:13" ht="16.5" thickBot="1" x14ac:dyDescent="0.3">
      <c r="A258" s="55" t="s">
        <v>749</v>
      </c>
      <c r="B258" s="74" t="s">
        <v>259</v>
      </c>
      <c r="C258" s="74" t="s">
        <v>257</v>
      </c>
      <c r="D258" s="75" t="s">
        <v>258</v>
      </c>
      <c r="E258" s="58" t="s">
        <v>260</v>
      </c>
      <c r="F258" s="59" t="s">
        <v>271</v>
      </c>
      <c r="H258" s="66" t="s">
        <v>749</v>
      </c>
      <c r="I258" s="61" t="s">
        <v>250</v>
      </c>
      <c r="J258" s="62" t="s">
        <v>248</v>
      </c>
      <c r="K258" s="62" t="s">
        <v>249</v>
      </c>
      <c r="L258" s="67" t="s">
        <v>271</v>
      </c>
      <c r="M258">
        <v>1</v>
      </c>
    </row>
    <row r="259" spans="1:13" ht="16.5" thickBot="1" x14ac:dyDescent="0.3">
      <c r="A259" s="55" t="s">
        <v>750</v>
      </c>
      <c r="B259" s="64" t="s">
        <v>265</v>
      </c>
      <c r="C259" s="64" t="s">
        <v>263</v>
      </c>
      <c r="D259" s="65" t="s">
        <v>264</v>
      </c>
      <c r="E259" s="58" t="s">
        <v>260</v>
      </c>
      <c r="F259" s="59" t="s">
        <v>273</v>
      </c>
      <c r="H259" s="66" t="s">
        <v>750</v>
      </c>
      <c r="I259" s="61" t="s">
        <v>249</v>
      </c>
      <c r="J259" s="62" t="s">
        <v>250</v>
      </c>
      <c r="K259" s="62" t="s">
        <v>248</v>
      </c>
      <c r="L259" s="63" t="s">
        <v>273</v>
      </c>
      <c r="M259">
        <v>2</v>
      </c>
    </row>
    <row r="260" spans="1:13" ht="16.5" thickBot="1" x14ac:dyDescent="0.3">
      <c r="A260" s="55" t="s">
        <v>751</v>
      </c>
      <c r="B260" s="74" t="s">
        <v>257</v>
      </c>
      <c r="C260" s="74" t="s">
        <v>258</v>
      </c>
      <c r="D260" s="75" t="s">
        <v>259</v>
      </c>
      <c r="E260" s="58" t="s">
        <v>260</v>
      </c>
      <c r="F260" s="59" t="s">
        <v>275</v>
      </c>
      <c r="H260" s="66" t="s">
        <v>751</v>
      </c>
      <c r="I260" s="61" t="s">
        <v>249</v>
      </c>
      <c r="J260" s="62" t="s">
        <v>250</v>
      </c>
      <c r="K260" s="62" t="s">
        <v>248</v>
      </c>
      <c r="L260" s="67" t="s">
        <v>275</v>
      </c>
      <c r="M260">
        <v>1</v>
      </c>
    </row>
    <row r="261" spans="1:13" ht="16.5" thickBot="1" x14ac:dyDescent="0.3">
      <c r="A261" s="55" t="s">
        <v>752</v>
      </c>
      <c r="B261" s="64" t="s">
        <v>263</v>
      </c>
      <c r="C261" s="64" t="s">
        <v>264</v>
      </c>
      <c r="D261" s="65" t="s">
        <v>265</v>
      </c>
      <c r="E261" s="58" t="s">
        <v>260</v>
      </c>
      <c r="F261" s="59" t="s">
        <v>261</v>
      </c>
      <c r="H261" s="66" t="s">
        <v>752</v>
      </c>
      <c r="I261" s="61" t="s">
        <v>248</v>
      </c>
      <c r="J261" s="62" t="s">
        <v>249</v>
      </c>
      <c r="K261" s="62" t="s">
        <v>250</v>
      </c>
      <c r="L261" s="63" t="s">
        <v>261</v>
      </c>
      <c r="M261">
        <v>2</v>
      </c>
    </row>
    <row r="262" spans="1:13" ht="16.5" thickBot="1" x14ac:dyDescent="0.3">
      <c r="A262" s="55" t="s">
        <v>753</v>
      </c>
      <c r="B262" s="74" t="s">
        <v>258</v>
      </c>
      <c r="C262" s="74" t="s">
        <v>259</v>
      </c>
      <c r="D262" s="75" t="s">
        <v>257</v>
      </c>
      <c r="E262" s="58" t="s">
        <v>260</v>
      </c>
      <c r="F262" s="59" t="s">
        <v>245</v>
      </c>
      <c r="H262" s="66" t="s">
        <v>753</v>
      </c>
      <c r="I262" s="61" t="s">
        <v>248</v>
      </c>
      <c r="J262" s="62" t="s">
        <v>249</v>
      </c>
      <c r="K262" s="62" t="s">
        <v>250</v>
      </c>
      <c r="L262" s="81" t="s">
        <v>245</v>
      </c>
      <c r="M262">
        <v>1</v>
      </c>
    </row>
    <row r="263" spans="1:13" ht="16.5" thickBot="1" x14ac:dyDescent="0.3">
      <c r="A263" s="55" t="s">
        <v>754</v>
      </c>
      <c r="B263" s="76" t="s">
        <v>264</v>
      </c>
      <c r="C263" s="76" t="s">
        <v>265</v>
      </c>
      <c r="D263" s="77" t="s">
        <v>263</v>
      </c>
      <c r="E263" s="58" t="s">
        <v>260</v>
      </c>
      <c r="F263" s="59" t="s">
        <v>267</v>
      </c>
      <c r="H263" s="66" t="s">
        <v>754</v>
      </c>
      <c r="I263" s="61" t="s">
        <v>250</v>
      </c>
      <c r="J263" s="62" t="s">
        <v>248</v>
      </c>
      <c r="K263" s="62" t="s">
        <v>249</v>
      </c>
      <c r="L263" s="67" t="s">
        <v>267</v>
      </c>
      <c r="M263">
        <v>2</v>
      </c>
    </row>
    <row r="264" spans="1:13" ht="16.5" thickBot="1" x14ac:dyDescent="0.3">
      <c r="A264" s="55" t="s">
        <v>755</v>
      </c>
      <c r="B264" s="74" t="s">
        <v>259</v>
      </c>
      <c r="C264" s="74" t="s">
        <v>257</v>
      </c>
      <c r="D264" s="75" t="s">
        <v>258</v>
      </c>
      <c r="E264" s="58" t="s">
        <v>260</v>
      </c>
      <c r="F264" s="59" t="s">
        <v>269</v>
      </c>
      <c r="H264" s="66" t="s">
        <v>755</v>
      </c>
      <c r="I264" s="61" t="s">
        <v>250</v>
      </c>
      <c r="J264" s="62" t="s">
        <v>248</v>
      </c>
      <c r="K264" s="62" t="s">
        <v>249</v>
      </c>
      <c r="L264" s="63" t="s">
        <v>269</v>
      </c>
      <c r="M264">
        <v>1</v>
      </c>
    </row>
    <row r="265" spans="1:13" ht="16.5" thickBot="1" x14ac:dyDescent="0.3">
      <c r="A265" s="55" t="s">
        <v>756</v>
      </c>
      <c r="B265" s="64" t="s">
        <v>265</v>
      </c>
      <c r="C265" s="64" t="s">
        <v>263</v>
      </c>
      <c r="D265" s="65" t="s">
        <v>264</v>
      </c>
      <c r="E265" s="58" t="s">
        <v>260</v>
      </c>
      <c r="F265" s="59" t="s">
        <v>271</v>
      </c>
      <c r="H265" s="66" t="s">
        <v>756</v>
      </c>
      <c r="I265" s="79" t="s">
        <v>249</v>
      </c>
      <c r="J265" s="80" t="s">
        <v>250</v>
      </c>
      <c r="K265" s="80" t="s">
        <v>248</v>
      </c>
      <c r="L265" s="67" t="s">
        <v>271</v>
      </c>
      <c r="M265">
        <v>2</v>
      </c>
    </row>
    <row r="266" spans="1:13" ht="16.5" thickBot="1" x14ac:dyDescent="0.3">
      <c r="A266" s="55" t="s">
        <v>757</v>
      </c>
      <c r="B266" s="74" t="s">
        <v>257</v>
      </c>
      <c r="C266" s="74" t="s">
        <v>258</v>
      </c>
      <c r="D266" s="75" t="s">
        <v>259</v>
      </c>
      <c r="E266" s="58" t="s">
        <v>260</v>
      </c>
      <c r="F266" s="59" t="s">
        <v>273</v>
      </c>
      <c r="H266" s="66" t="s">
        <v>757</v>
      </c>
      <c r="I266" s="61" t="s">
        <v>249</v>
      </c>
      <c r="J266" s="62" t="s">
        <v>250</v>
      </c>
      <c r="K266" s="62" t="s">
        <v>248</v>
      </c>
      <c r="L266" s="63" t="s">
        <v>273</v>
      </c>
      <c r="M266">
        <v>1</v>
      </c>
    </row>
    <row r="267" spans="1:13" ht="16.5" thickBot="1" x14ac:dyDescent="0.3">
      <c r="A267" s="55" t="s">
        <v>758</v>
      </c>
      <c r="B267" s="64" t="s">
        <v>263</v>
      </c>
      <c r="C267" s="64" t="s">
        <v>264</v>
      </c>
      <c r="D267" s="65" t="s">
        <v>265</v>
      </c>
      <c r="E267" s="58" t="s">
        <v>260</v>
      </c>
      <c r="F267" s="59" t="s">
        <v>275</v>
      </c>
      <c r="H267" s="66" t="s">
        <v>758</v>
      </c>
      <c r="I267" s="61" t="s">
        <v>249</v>
      </c>
      <c r="J267" s="62" t="s">
        <v>250</v>
      </c>
      <c r="K267" s="62" t="s">
        <v>248</v>
      </c>
      <c r="L267" s="67" t="s">
        <v>275</v>
      </c>
      <c r="M267">
        <v>2</v>
      </c>
    </row>
    <row r="268" spans="1:13" ht="16.5" thickBot="1" x14ac:dyDescent="0.3">
      <c r="A268" s="55" t="s">
        <v>759</v>
      </c>
      <c r="B268" s="74" t="s">
        <v>258</v>
      </c>
      <c r="C268" s="74" t="s">
        <v>259</v>
      </c>
      <c r="D268" s="75" t="s">
        <v>257</v>
      </c>
      <c r="E268" s="58" t="s">
        <v>260</v>
      </c>
      <c r="F268" s="59" t="s">
        <v>261</v>
      </c>
      <c r="H268" s="66" t="s">
        <v>759</v>
      </c>
      <c r="I268" s="61" t="s">
        <v>248</v>
      </c>
      <c r="J268" s="62" t="s">
        <v>249</v>
      </c>
      <c r="K268" s="62" t="s">
        <v>250</v>
      </c>
      <c r="L268" s="63" t="s">
        <v>261</v>
      </c>
      <c r="M268">
        <v>1</v>
      </c>
    </row>
    <row r="269" spans="1:13" ht="16.5" thickBot="1" x14ac:dyDescent="0.3">
      <c r="A269" s="55" t="s">
        <v>760</v>
      </c>
      <c r="B269" s="76" t="s">
        <v>264</v>
      </c>
      <c r="C269" s="76" t="s">
        <v>265</v>
      </c>
      <c r="D269" s="77" t="s">
        <v>263</v>
      </c>
      <c r="E269" s="58" t="s">
        <v>260</v>
      </c>
      <c r="F269" s="59" t="s">
        <v>245</v>
      </c>
      <c r="H269" s="66" t="s">
        <v>760</v>
      </c>
      <c r="I269" s="61" t="s">
        <v>248</v>
      </c>
      <c r="J269" s="62" t="s">
        <v>249</v>
      </c>
      <c r="K269" s="62" t="s">
        <v>250</v>
      </c>
      <c r="L269" s="81" t="s">
        <v>245</v>
      </c>
      <c r="M269">
        <v>2</v>
      </c>
    </row>
    <row r="270" spans="1:13" ht="16.5" thickBot="1" x14ac:dyDescent="0.3">
      <c r="A270" s="55" t="s">
        <v>761</v>
      </c>
      <c r="B270" s="74" t="s">
        <v>259</v>
      </c>
      <c r="C270" s="74" t="s">
        <v>257</v>
      </c>
      <c r="D270" s="75" t="s">
        <v>258</v>
      </c>
      <c r="E270" s="58" t="s">
        <v>260</v>
      </c>
      <c r="F270" s="59" t="s">
        <v>267</v>
      </c>
      <c r="H270" s="66" t="s">
        <v>761</v>
      </c>
      <c r="I270" s="61" t="s">
        <v>250</v>
      </c>
      <c r="J270" s="62" t="s">
        <v>248</v>
      </c>
      <c r="K270" s="62" t="s">
        <v>249</v>
      </c>
      <c r="L270" s="67" t="s">
        <v>267</v>
      </c>
      <c r="M270">
        <v>1</v>
      </c>
    </row>
    <row r="271" spans="1:13" ht="16.5" thickBot="1" x14ac:dyDescent="0.3">
      <c r="A271" s="55" t="s">
        <v>762</v>
      </c>
      <c r="B271" s="64" t="s">
        <v>265</v>
      </c>
      <c r="C271" s="64" t="s">
        <v>263</v>
      </c>
      <c r="D271" s="65" t="s">
        <v>264</v>
      </c>
      <c r="E271" s="58" t="s">
        <v>260</v>
      </c>
      <c r="F271" s="59" t="s">
        <v>269</v>
      </c>
      <c r="H271" s="66" t="s">
        <v>762</v>
      </c>
      <c r="I271" s="61" t="s">
        <v>250</v>
      </c>
      <c r="J271" s="62" t="s">
        <v>248</v>
      </c>
      <c r="K271" s="62" t="s">
        <v>249</v>
      </c>
      <c r="L271" s="63" t="s">
        <v>269</v>
      </c>
      <c r="M271">
        <v>2</v>
      </c>
    </row>
    <row r="272" spans="1:13" ht="16.5" thickBot="1" x14ac:dyDescent="0.3">
      <c r="A272" s="55" t="s">
        <v>763</v>
      </c>
      <c r="B272" s="74" t="s">
        <v>257</v>
      </c>
      <c r="C272" s="74" t="s">
        <v>258</v>
      </c>
      <c r="D272" s="75" t="s">
        <v>259</v>
      </c>
      <c r="E272" s="58" t="s">
        <v>260</v>
      </c>
      <c r="F272" s="59" t="s">
        <v>271</v>
      </c>
      <c r="H272" s="66" t="s">
        <v>763</v>
      </c>
      <c r="I272" s="79" t="s">
        <v>249</v>
      </c>
      <c r="J272" s="80" t="s">
        <v>250</v>
      </c>
      <c r="K272" s="80" t="s">
        <v>248</v>
      </c>
      <c r="L272" s="67" t="s">
        <v>271</v>
      </c>
      <c r="M272">
        <v>1</v>
      </c>
    </row>
    <row r="273" spans="1:13" ht="16.5" thickBot="1" x14ac:dyDescent="0.3">
      <c r="A273" s="55" t="s">
        <v>764</v>
      </c>
      <c r="B273" s="64" t="s">
        <v>263</v>
      </c>
      <c r="C273" s="64" t="s">
        <v>264</v>
      </c>
      <c r="D273" s="65" t="s">
        <v>265</v>
      </c>
      <c r="E273" s="58" t="s">
        <v>260</v>
      </c>
      <c r="F273" s="59" t="s">
        <v>273</v>
      </c>
      <c r="H273" s="66" t="s">
        <v>764</v>
      </c>
      <c r="I273" s="61" t="s">
        <v>249</v>
      </c>
      <c r="J273" s="62" t="s">
        <v>250</v>
      </c>
      <c r="K273" s="62" t="s">
        <v>248</v>
      </c>
      <c r="L273" s="63" t="s">
        <v>273</v>
      </c>
      <c r="M273">
        <v>1</v>
      </c>
    </row>
    <row r="274" spans="1:13" ht="16.5" thickBot="1" x14ac:dyDescent="0.3">
      <c r="A274" s="55" t="s">
        <v>765</v>
      </c>
      <c r="B274" s="74" t="s">
        <v>258</v>
      </c>
      <c r="C274" s="74" t="s">
        <v>259</v>
      </c>
      <c r="D274" s="75" t="s">
        <v>257</v>
      </c>
      <c r="E274" s="58" t="s">
        <v>260</v>
      </c>
      <c r="F274" s="59" t="s">
        <v>275</v>
      </c>
      <c r="H274" s="66" t="s">
        <v>765</v>
      </c>
      <c r="I274" s="61" t="s">
        <v>249</v>
      </c>
      <c r="J274" s="62" t="s">
        <v>250</v>
      </c>
      <c r="K274" s="62" t="s">
        <v>248</v>
      </c>
      <c r="L274" s="67" t="s">
        <v>275</v>
      </c>
      <c r="M274">
        <v>2</v>
      </c>
    </row>
    <row r="275" spans="1:13" ht="16.5" thickBot="1" x14ac:dyDescent="0.3">
      <c r="A275" s="55" t="s">
        <v>766</v>
      </c>
      <c r="B275" s="76" t="s">
        <v>264</v>
      </c>
      <c r="C275" s="76" t="s">
        <v>265</v>
      </c>
      <c r="D275" s="77" t="s">
        <v>263</v>
      </c>
      <c r="E275" s="58" t="s">
        <v>260</v>
      </c>
      <c r="F275" s="59" t="s">
        <v>261</v>
      </c>
      <c r="H275" s="66" t="s">
        <v>766</v>
      </c>
      <c r="I275" s="61" t="s">
        <v>248</v>
      </c>
      <c r="J275" s="62" t="s">
        <v>249</v>
      </c>
      <c r="K275" s="62" t="s">
        <v>250</v>
      </c>
      <c r="L275" s="63" t="s">
        <v>261</v>
      </c>
      <c r="M275">
        <v>1</v>
      </c>
    </row>
    <row r="276" spans="1:13" ht="16.5" thickBot="1" x14ac:dyDescent="0.3">
      <c r="A276" s="55" t="s">
        <v>767</v>
      </c>
      <c r="B276" s="74" t="s">
        <v>259</v>
      </c>
      <c r="C276" s="74" t="s">
        <v>257</v>
      </c>
      <c r="D276" s="75" t="s">
        <v>258</v>
      </c>
      <c r="E276" s="58" t="s">
        <v>260</v>
      </c>
      <c r="F276" s="59" t="s">
        <v>245</v>
      </c>
      <c r="H276" s="66" t="s">
        <v>767</v>
      </c>
      <c r="I276" s="61" t="s">
        <v>248</v>
      </c>
      <c r="J276" s="62" t="s">
        <v>249</v>
      </c>
      <c r="K276" s="62" t="s">
        <v>250</v>
      </c>
      <c r="L276" s="81" t="s">
        <v>245</v>
      </c>
      <c r="M276">
        <v>2</v>
      </c>
    </row>
    <row r="277" spans="1:13" ht="16.5" thickBot="1" x14ac:dyDescent="0.3">
      <c r="A277" s="55" t="s">
        <v>768</v>
      </c>
      <c r="B277" s="64" t="s">
        <v>265</v>
      </c>
      <c r="C277" s="64" t="s">
        <v>263</v>
      </c>
      <c r="D277" s="65" t="s">
        <v>264</v>
      </c>
      <c r="E277" s="58" t="s">
        <v>260</v>
      </c>
      <c r="F277" s="59" t="s">
        <v>267</v>
      </c>
      <c r="H277" s="66" t="s">
        <v>768</v>
      </c>
      <c r="I277" s="61" t="s">
        <v>250</v>
      </c>
      <c r="J277" s="62" t="s">
        <v>248</v>
      </c>
      <c r="K277" s="62" t="s">
        <v>249</v>
      </c>
      <c r="L277" s="67" t="s">
        <v>267</v>
      </c>
      <c r="M277">
        <v>1</v>
      </c>
    </row>
    <row r="278" spans="1:13" ht="16.5" thickBot="1" x14ac:dyDescent="0.3">
      <c r="A278" s="55" t="s">
        <v>769</v>
      </c>
      <c r="B278" s="74" t="s">
        <v>257</v>
      </c>
      <c r="C278" s="74" t="s">
        <v>258</v>
      </c>
      <c r="D278" s="75" t="s">
        <v>259</v>
      </c>
      <c r="E278" s="58" t="s">
        <v>260</v>
      </c>
      <c r="F278" s="59" t="s">
        <v>269</v>
      </c>
      <c r="H278" s="66" t="s">
        <v>769</v>
      </c>
      <c r="I278" s="61" t="s">
        <v>249</v>
      </c>
      <c r="J278" s="62" t="s">
        <v>250</v>
      </c>
      <c r="K278" s="62" t="s">
        <v>248</v>
      </c>
      <c r="L278" s="63" t="s">
        <v>269</v>
      </c>
      <c r="M278">
        <v>2</v>
      </c>
    </row>
    <row r="279" spans="1:13" ht="16.5" thickBot="1" x14ac:dyDescent="0.3">
      <c r="A279" s="55" t="s">
        <v>770</v>
      </c>
      <c r="B279" s="64" t="s">
        <v>263</v>
      </c>
      <c r="C279" s="64" t="s">
        <v>264</v>
      </c>
      <c r="D279" s="65" t="s">
        <v>265</v>
      </c>
      <c r="E279" s="58" t="s">
        <v>260</v>
      </c>
      <c r="F279" s="59" t="s">
        <v>271</v>
      </c>
      <c r="H279" s="66" t="s">
        <v>770</v>
      </c>
      <c r="I279" s="61" t="s">
        <v>249</v>
      </c>
      <c r="J279" s="62" t="s">
        <v>250</v>
      </c>
      <c r="K279" s="62" t="s">
        <v>248</v>
      </c>
      <c r="L279" s="67" t="s">
        <v>271</v>
      </c>
      <c r="M279">
        <v>1</v>
      </c>
    </row>
    <row r="280" spans="1:13" ht="16.5" thickBot="1" x14ac:dyDescent="0.3">
      <c r="A280" s="55" t="s">
        <v>771</v>
      </c>
      <c r="B280" s="74" t="s">
        <v>258</v>
      </c>
      <c r="C280" s="74" t="s">
        <v>259</v>
      </c>
      <c r="D280" s="75" t="s">
        <v>257</v>
      </c>
      <c r="E280" s="58" t="s">
        <v>260</v>
      </c>
      <c r="F280" s="59" t="s">
        <v>273</v>
      </c>
      <c r="H280" s="66" t="s">
        <v>771</v>
      </c>
      <c r="I280" s="61" t="s">
        <v>248</v>
      </c>
      <c r="J280" s="62" t="s">
        <v>249</v>
      </c>
      <c r="K280" s="62" t="s">
        <v>250</v>
      </c>
      <c r="L280" s="63" t="s">
        <v>273</v>
      </c>
      <c r="M280">
        <v>2</v>
      </c>
    </row>
    <row r="281" spans="1:13" ht="16.5" thickBot="1" x14ac:dyDescent="0.3">
      <c r="A281" s="55" t="s">
        <v>772</v>
      </c>
      <c r="B281" s="76" t="s">
        <v>264</v>
      </c>
      <c r="C281" s="76" t="s">
        <v>265</v>
      </c>
      <c r="D281" s="77" t="s">
        <v>263</v>
      </c>
      <c r="E281" s="58" t="s">
        <v>260</v>
      </c>
      <c r="F281" s="59" t="s">
        <v>275</v>
      </c>
      <c r="H281" s="66" t="s">
        <v>772</v>
      </c>
      <c r="I281" s="61" t="s">
        <v>248</v>
      </c>
      <c r="J281" s="62" t="s">
        <v>249</v>
      </c>
      <c r="K281" s="62" t="s">
        <v>250</v>
      </c>
      <c r="L281" s="67" t="s">
        <v>275</v>
      </c>
      <c r="M281">
        <v>1</v>
      </c>
    </row>
    <row r="282" spans="1:13" ht="16.5" thickBot="1" x14ac:dyDescent="0.3">
      <c r="A282" s="55" t="s">
        <v>773</v>
      </c>
      <c r="B282" s="74" t="s">
        <v>259</v>
      </c>
      <c r="C282" s="74" t="s">
        <v>257</v>
      </c>
      <c r="D282" s="75" t="s">
        <v>258</v>
      </c>
      <c r="E282" s="58" t="s">
        <v>260</v>
      </c>
      <c r="F282" s="59" t="s">
        <v>261</v>
      </c>
      <c r="H282" s="66" t="s">
        <v>773</v>
      </c>
      <c r="I282" s="61" t="s">
        <v>250</v>
      </c>
      <c r="J282" s="62" t="s">
        <v>248</v>
      </c>
      <c r="K282" s="62" t="s">
        <v>249</v>
      </c>
      <c r="L282" s="63" t="s">
        <v>261</v>
      </c>
      <c r="M282">
        <v>2</v>
      </c>
    </row>
    <row r="283" spans="1:13" ht="16.5" thickBot="1" x14ac:dyDescent="0.3">
      <c r="A283" s="55" t="s">
        <v>774</v>
      </c>
      <c r="B283" s="64" t="s">
        <v>265</v>
      </c>
      <c r="C283" s="64" t="s">
        <v>263</v>
      </c>
      <c r="D283" s="65" t="s">
        <v>264</v>
      </c>
      <c r="E283" s="58" t="s">
        <v>260</v>
      </c>
      <c r="F283" s="59" t="s">
        <v>245</v>
      </c>
      <c r="H283" s="66" t="s">
        <v>774</v>
      </c>
      <c r="I283" s="61" t="s">
        <v>250</v>
      </c>
      <c r="J283" s="62" t="s">
        <v>248</v>
      </c>
      <c r="K283" s="62" t="s">
        <v>249</v>
      </c>
      <c r="L283" s="81" t="s">
        <v>245</v>
      </c>
      <c r="M283">
        <v>1</v>
      </c>
    </row>
    <row r="284" spans="1:13" ht="16.5" thickBot="1" x14ac:dyDescent="0.3">
      <c r="A284" s="55" t="s">
        <v>775</v>
      </c>
      <c r="B284" s="74" t="s">
        <v>257</v>
      </c>
      <c r="C284" s="74" t="s">
        <v>258</v>
      </c>
      <c r="D284" s="75" t="s">
        <v>259</v>
      </c>
      <c r="E284" s="58" t="s">
        <v>260</v>
      </c>
      <c r="F284" s="59" t="s">
        <v>267</v>
      </c>
      <c r="H284" s="66" t="s">
        <v>775</v>
      </c>
      <c r="I284" s="79" t="s">
        <v>249</v>
      </c>
      <c r="J284" s="80" t="s">
        <v>250</v>
      </c>
      <c r="K284" s="80" t="s">
        <v>248</v>
      </c>
      <c r="L284" s="67" t="s">
        <v>267</v>
      </c>
      <c r="M284">
        <v>2</v>
      </c>
    </row>
    <row r="285" spans="1:13" ht="16.5" thickBot="1" x14ac:dyDescent="0.3">
      <c r="A285" s="55" t="s">
        <v>776</v>
      </c>
      <c r="B285" s="64" t="s">
        <v>263</v>
      </c>
      <c r="C285" s="64" t="s">
        <v>264</v>
      </c>
      <c r="D285" s="65" t="s">
        <v>265</v>
      </c>
      <c r="E285" s="58" t="s">
        <v>260</v>
      </c>
      <c r="F285" s="59" t="s">
        <v>269</v>
      </c>
      <c r="H285" s="66" t="s">
        <v>776</v>
      </c>
      <c r="I285" s="61" t="s">
        <v>249</v>
      </c>
      <c r="J285" s="62" t="s">
        <v>250</v>
      </c>
      <c r="K285" s="62" t="s">
        <v>248</v>
      </c>
      <c r="L285" s="63" t="s">
        <v>269</v>
      </c>
      <c r="M285">
        <v>1</v>
      </c>
    </row>
    <row r="286" spans="1:13" ht="16.5" thickBot="1" x14ac:dyDescent="0.3">
      <c r="A286" s="55" t="s">
        <v>777</v>
      </c>
      <c r="B286" s="74" t="s">
        <v>258</v>
      </c>
      <c r="C286" s="74" t="s">
        <v>259</v>
      </c>
      <c r="D286" s="75" t="s">
        <v>257</v>
      </c>
      <c r="E286" s="58" t="s">
        <v>260</v>
      </c>
      <c r="F286" s="59" t="s">
        <v>271</v>
      </c>
      <c r="H286" s="66" t="s">
        <v>777</v>
      </c>
      <c r="I286" s="61" t="s">
        <v>249</v>
      </c>
      <c r="J286" s="62" t="s">
        <v>250</v>
      </c>
      <c r="K286" s="62" t="s">
        <v>248</v>
      </c>
      <c r="L286" s="67" t="s">
        <v>271</v>
      </c>
      <c r="M286">
        <v>2</v>
      </c>
    </row>
    <row r="287" spans="1:13" ht="16.5" thickBot="1" x14ac:dyDescent="0.3">
      <c r="A287" s="55" t="s">
        <v>778</v>
      </c>
      <c r="B287" s="76" t="s">
        <v>264</v>
      </c>
      <c r="C287" s="76" t="s">
        <v>265</v>
      </c>
      <c r="D287" s="77" t="s">
        <v>263</v>
      </c>
      <c r="E287" s="58" t="s">
        <v>260</v>
      </c>
      <c r="F287" s="59" t="s">
        <v>273</v>
      </c>
      <c r="H287" s="66" t="s">
        <v>778</v>
      </c>
      <c r="I287" s="61" t="s">
        <v>248</v>
      </c>
      <c r="J287" s="62" t="s">
        <v>249</v>
      </c>
      <c r="K287" s="62" t="s">
        <v>250</v>
      </c>
      <c r="L287" s="63" t="s">
        <v>273</v>
      </c>
      <c r="M287">
        <v>1</v>
      </c>
    </row>
    <row r="288" spans="1:13" ht="16.5" thickBot="1" x14ac:dyDescent="0.3">
      <c r="A288" s="55" t="s">
        <v>779</v>
      </c>
      <c r="B288" s="74" t="s">
        <v>259</v>
      </c>
      <c r="C288" s="74" t="s">
        <v>257</v>
      </c>
      <c r="D288" s="75" t="s">
        <v>258</v>
      </c>
      <c r="E288" s="58" t="s">
        <v>260</v>
      </c>
      <c r="F288" s="59" t="s">
        <v>275</v>
      </c>
      <c r="H288" s="60" t="s">
        <v>779</v>
      </c>
      <c r="I288" s="61" t="s">
        <v>248</v>
      </c>
      <c r="J288" s="62" t="s">
        <v>249</v>
      </c>
      <c r="K288" s="62" t="s">
        <v>250</v>
      </c>
      <c r="L288" s="67" t="s">
        <v>275</v>
      </c>
      <c r="M288">
        <v>1</v>
      </c>
    </row>
    <row r="289" spans="1:13" ht="16.5" thickBot="1" x14ac:dyDescent="0.3">
      <c r="A289" s="55" t="s">
        <v>780</v>
      </c>
      <c r="B289" s="64" t="s">
        <v>265</v>
      </c>
      <c r="C289" s="64" t="s">
        <v>263</v>
      </c>
      <c r="D289" s="65" t="s">
        <v>264</v>
      </c>
      <c r="E289" s="58" t="s">
        <v>260</v>
      </c>
      <c r="F289" s="59" t="s">
        <v>261</v>
      </c>
      <c r="H289" s="60" t="s">
        <v>780</v>
      </c>
      <c r="I289" s="61" t="s">
        <v>250</v>
      </c>
      <c r="J289" s="62" t="s">
        <v>248</v>
      </c>
      <c r="K289" s="62" t="s">
        <v>249</v>
      </c>
      <c r="L289" s="63" t="s">
        <v>261</v>
      </c>
      <c r="M289">
        <v>2</v>
      </c>
    </row>
    <row r="290" spans="1:13" ht="16.5" thickBot="1" x14ac:dyDescent="0.3">
      <c r="A290" s="55" t="s">
        <v>781</v>
      </c>
      <c r="B290" s="74" t="s">
        <v>257</v>
      </c>
      <c r="C290" s="74" t="s">
        <v>258</v>
      </c>
      <c r="D290" s="75" t="s">
        <v>259</v>
      </c>
      <c r="E290" s="58" t="s">
        <v>260</v>
      </c>
      <c r="F290" s="59" t="s">
        <v>245</v>
      </c>
      <c r="H290" s="60" t="s">
        <v>781</v>
      </c>
      <c r="I290" s="61" t="s">
        <v>250</v>
      </c>
      <c r="J290" s="62" t="s">
        <v>248</v>
      </c>
      <c r="K290" s="62" t="s">
        <v>249</v>
      </c>
      <c r="L290" s="81" t="s">
        <v>245</v>
      </c>
      <c r="M290">
        <v>1</v>
      </c>
    </row>
    <row r="291" spans="1:13" ht="16.5" thickBot="1" x14ac:dyDescent="0.3">
      <c r="A291" s="55" t="s">
        <v>782</v>
      </c>
      <c r="B291" s="64" t="s">
        <v>263</v>
      </c>
      <c r="C291" s="64" t="s">
        <v>264</v>
      </c>
      <c r="D291" s="65" t="s">
        <v>265</v>
      </c>
      <c r="E291" s="58" t="s">
        <v>260</v>
      </c>
      <c r="F291" s="59" t="s">
        <v>267</v>
      </c>
      <c r="H291" s="60" t="s">
        <v>782</v>
      </c>
      <c r="I291" s="79" t="s">
        <v>249</v>
      </c>
      <c r="J291" s="80" t="s">
        <v>250</v>
      </c>
      <c r="K291" s="80" t="s">
        <v>248</v>
      </c>
      <c r="L291" s="67" t="s">
        <v>267</v>
      </c>
      <c r="M291">
        <v>2</v>
      </c>
    </row>
    <row r="292" spans="1:13" ht="16.5" thickBot="1" x14ac:dyDescent="0.3">
      <c r="A292" s="55" t="s">
        <v>783</v>
      </c>
      <c r="B292" s="74" t="s">
        <v>258</v>
      </c>
      <c r="C292" s="74" t="s">
        <v>259</v>
      </c>
      <c r="D292" s="75" t="s">
        <v>257</v>
      </c>
      <c r="E292" s="58" t="s">
        <v>260</v>
      </c>
      <c r="F292" s="59" t="s">
        <v>269</v>
      </c>
      <c r="H292" s="60" t="s">
        <v>783</v>
      </c>
      <c r="I292" s="61" t="s">
        <v>249</v>
      </c>
      <c r="J292" s="62" t="s">
        <v>250</v>
      </c>
      <c r="K292" s="62" t="s">
        <v>248</v>
      </c>
      <c r="L292" s="63" t="s">
        <v>269</v>
      </c>
      <c r="M292">
        <v>1</v>
      </c>
    </row>
    <row r="293" spans="1:13" ht="16.5" thickBot="1" x14ac:dyDescent="0.3">
      <c r="A293" s="55" t="s">
        <v>784</v>
      </c>
      <c r="B293" s="76" t="s">
        <v>264</v>
      </c>
      <c r="C293" s="76" t="s">
        <v>265</v>
      </c>
      <c r="D293" s="77" t="s">
        <v>263</v>
      </c>
      <c r="E293" s="58" t="s">
        <v>260</v>
      </c>
      <c r="F293" s="59" t="s">
        <v>271</v>
      </c>
      <c r="H293" s="60" t="s">
        <v>784</v>
      </c>
      <c r="I293" s="61" t="s">
        <v>249</v>
      </c>
      <c r="J293" s="62" t="s">
        <v>250</v>
      </c>
      <c r="K293" s="62" t="s">
        <v>248</v>
      </c>
      <c r="L293" s="67" t="s">
        <v>271</v>
      </c>
      <c r="M293">
        <v>2</v>
      </c>
    </row>
    <row r="294" spans="1:13" ht="16.5" thickBot="1" x14ac:dyDescent="0.3">
      <c r="A294" s="55" t="s">
        <v>785</v>
      </c>
      <c r="B294" s="74" t="s">
        <v>259</v>
      </c>
      <c r="C294" s="74" t="s">
        <v>257</v>
      </c>
      <c r="D294" s="75" t="s">
        <v>258</v>
      </c>
      <c r="E294" s="58" t="s">
        <v>260</v>
      </c>
      <c r="F294" s="59" t="s">
        <v>273</v>
      </c>
      <c r="H294" s="60" t="s">
        <v>785</v>
      </c>
      <c r="I294" s="61" t="s">
        <v>248</v>
      </c>
      <c r="J294" s="62" t="s">
        <v>249</v>
      </c>
      <c r="K294" s="62" t="s">
        <v>250</v>
      </c>
      <c r="L294" s="63" t="s">
        <v>273</v>
      </c>
      <c r="M294">
        <v>1</v>
      </c>
    </row>
    <row r="295" spans="1:13" ht="16.5" thickBot="1" x14ac:dyDescent="0.3">
      <c r="A295" s="55" t="s">
        <v>786</v>
      </c>
      <c r="B295" s="64" t="s">
        <v>265</v>
      </c>
      <c r="C295" s="64" t="s">
        <v>263</v>
      </c>
      <c r="D295" s="65" t="s">
        <v>264</v>
      </c>
      <c r="E295" s="58" t="s">
        <v>260</v>
      </c>
      <c r="F295" s="59" t="s">
        <v>275</v>
      </c>
      <c r="H295" s="60" t="s">
        <v>786</v>
      </c>
      <c r="I295" s="61" t="s">
        <v>248</v>
      </c>
      <c r="J295" s="62" t="s">
        <v>249</v>
      </c>
      <c r="K295" s="62" t="s">
        <v>250</v>
      </c>
      <c r="L295" s="67" t="s">
        <v>275</v>
      </c>
      <c r="M295">
        <v>2</v>
      </c>
    </row>
    <row r="296" spans="1:13" ht="16.5" thickBot="1" x14ac:dyDescent="0.3">
      <c r="A296" s="55" t="s">
        <v>787</v>
      </c>
      <c r="B296" s="74" t="s">
        <v>257</v>
      </c>
      <c r="C296" s="74" t="s">
        <v>258</v>
      </c>
      <c r="D296" s="75" t="s">
        <v>259</v>
      </c>
      <c r="E296" s="58" t="s">
        <v>260</v>
      </c>
      <c r="F296" s="59" t="s">
        <v>261</v>
      </c>
      <c r="H296" s="60" t="s">
        <v>787</v>
      </c>
      <c r="I296" s="61" t="s">
        <v>250</v>
      </c>
      <c r="J296" s="62" t="s">
        <v>248</v>
      </c>
      <c r="K296" s="62" t="s">
        <v>249</v>
      </c>
      <c r="L296" s="63" t="s">
        <v>261</v>
      </c>
      <c r="M296">
        <v>1</v>
      </c>
    </row>
    <row r="297" spans="1:13" ht="16.5" thickBot="1" x14ac:dyDescent="0.3">
      <c r="A297" s="55" t="s">
        <v>788</v>
      </c>
      <c r="B297" s="64" t="s">
        <v>263</v>
      </c>
      <c r="C297" s="64" t="s">
        <v>264</v>
      </c>
      <c r="D297" s="65" t="s">
        <v>265</v>
      </c>
      <c r="E297" s="58" t="s">
        <v>260</v>
      </c>
      <c r="F297" s="59" t="s">
        <v>245</v>
      </c>
      <c r="H297" s="60" t="s">
        <v>788</v>
      </c>
      <c r="I297" s="61" t="s">
        <v>249</v>
      </c>
      <c r="J297" s="62" t="s">
        <v>250</v>
      </c>
      <c r="K297" s="62" t="s">
        <v>248</v>
      </c>
      <c r="L297" s="81" t="s">
        <v>245</v>
      </c>
      <c r="M297">
        <v>2</v>
      </c>
    </row>
    <row r="298" spans="1:13" ht="16.5" thickBot="1" x14ac:dyDescent="0.3">
      <c r="A298" s="55" t="s">
        <v>789</v>
      </c>
      <c r="B298" s="74" t="s">
        <v>258</v>
      </c>
      <c r="C298" s="74" t="s">
        <v>259</v>
      </c>
      <c r="D298" s="75" t="s">
        <v>257</v>
      </c>
      <c r="E298" s="58" t="s">
        <v>260</v>
      </c>
      <c r="F298" s="59" t="s">
        <v>267</v>
      </c>
      <c r="H298" s="60" t="s">
        <v>789</v>
      </c>
      <c r="I298" s="61" t="s">
        <v>249</v>
      </c>
      <c r="J298" s="62" t="s">
        <v>250</v>
      </c>
      <c r="K298" s="62" t="s">
        <v>248</v>
      </c>
      <c r="L298" s="67" t="s">
        <v>267</v>
      </c>
      <c r="M298">
        <v>1</v>
      </c>
    </row>
    <row r="299" spans="1:13" ht="16.5" thickBot="1" x14ac:dyDescent="0.3">
      <c r="A299" s="55" t="s">
        <v>790</v>
      </c>
      <c r="B299" s="76" t="s">
        <v>264</v>
      </c>
      <c r="C299" s="76" t="s">
        <v>265</v>
      </c>
      <c r="D299" s="77" t="s">
        <v>263</v>
      </c>
      <c r="E299" s="58" t="s">
        <v>260</v>
      </c>
      <c r="F299" s="59" t="s">
        <v>269</v>
      </c>
      <c r="H299" s="60" t="s">
        <v>790</v>
      </c>
      <c r="I299" s="61" t="s">
        <v>248</v>
      </c>
      <c r="J299" s="62" t="s">
        <v>249</v>
      </c>
      <c r="K299" s="62" t="s">
        <v>250</v>
      </c>
      <c r="L299" s="63" t="s">
        <v>269</v>
      </c>
      <c r="M299">
        <v>2</v>
      </c>
    </row>
    <row r="300" spans="1:13" ht="16.5" thickBot="1" x14ac:dyDescent="0.3">
      <c r="A300" s="55" t="s">
        <v>791</v>
      </c>
      <c r="B300" s="74" t="s">
        <v>259</v>
      </c>
      <c r="C300" s="74" t="s">
        <v>257</v>
      </c>
      <c r="D300" s="75" t="s">
        <v>258</v>
      </c>
      <c r="E300" s="58" t="s">
        <v>260</v>
      </c>
      <c r="F300" s="59" t="s">
        <v>271</v>
      </c>
      <c r="H300" s="60" t="s">
        <v>791</v>
      </c>
      <c r="I300" s="61" t="s">
        <v>248</v>
      </c>
      <c r="J300" s="62" t="s">
        <v>249</v>
      </c>
      <c r="K300" s="62" t="s">
        <v>250</v>
      </c>
      <c r="L300" s="67" t="s">
        <v>271</v>
      </c>
      <c r="M300">
        <v>1</v>
      </c>
    </row>
    <row r="301" spans="1:13" ht="16.5" thickBot="1" x14ac:dyDescent="0.3">
      <c r="A301" s="55" t="s">
        <v>792</v>
      </c>
      <c r="B301" s="64" t="s">
        <v>265</v>
      </c>
      <c r="C301" s="64" t="s">
        <v>263</v>
      </c>
      <c r="D301" s="65" t="s">
        <v>264</v>
      </c>
      <c r="E301" s="58" t="s">
        <v>260</v>
      </c>
      <c r="F301" s="59" t="s">
        <v>273</v>
      </c>
      <c r="H301" s="60" t="s">
        <v>792</v>
      </c>
      <c r="I301" s="61" t="s">
        <v>250</v>
      </c>
      <c r="J301" s="62" t="s">
        <v>248</v>
      </c>
      <c r="K301" s="62" t="s">
        <v>249</v>
      </c>
      <c r="L301" s="63" t="s">
        <v>273</v>
      </c>
      <c r="M301">
        <v>2</v>
      </c>
    </row>
    <row r="302" spans="1:13" ht="16.5" thickBot="1" x14ac:dyDescent="0.3">
      <c r="A302" s="55" t="s">
        <v>793</v>
      </c>
      <c r="B302" s="74" t="s">
        <v>257</v>
      </c>
      <c r="C302" s="74" t="s">
        <v>258</v>
      </c>
      <c r="D302" s="75" t="s">
        <v>259</v>
      </c>
      <c r="E302" s="58" t="s">
        <v>260</v>
      </c>
      <c r="F302" s="59" t="s">
        <v>275</v>
      </c>
      <c r="H302" s="60" t="s">
        <v>793</v>
      </c>
      <c r="I302" s="61" t="s">
        <v>250</v>
      </c>
      <c r="J302" s="62" t="s">
        <v>248</v>
      </c>
      <c r="K302" s="62" t="s">
        <v>249</v>
      </c>
      <c r="L302" s="67" t="s">
        <v>275</v>
      </c>
      <c r="M302">
        <v>1</v>
      </c>
    </row>
    <row r="303" spans="1:13" ht="16.5" thickBot="1" x14ac:dyDescent="0.3">
      <c r="A303" s="55" t="s">
        <v>794</v>
      </c>
      <c r="B303" s="64" t="s">
        <v>263</v>
      </c>
      <c r="C303" s="64" t="s">
        <v>264</v>
      </c>
      <c r="D303" s="65" t="s">
        <v>265</v>
      </c>
      <c r="E303" s="58" t="s">
        <v>260</v>
      </c>
      <c r="F303" s="59" t="s">
        <v>261</v>
      </c>
      <c r="H303" s="60" t="s">
        <v>794</v>
      </c>
      <c r="I303" s="79" t="s">
        <v>249</v>
      </c>
      <c r="J303" s="80" t="s">
        <v>250</v>
      </c>
      <c r="K303" s="80" t="s">
        <v>248</v>
      </c>
      <c r="L303" s="63" t="s">
        <v>261</v>
      </c>
      <c r="M303">
        <v>1</v>
      </c>
    </row>
    <row r="304" spans="1:13" ht="16.5" thickBot="1" x14ac:dyDescent="0.3">
      <c r="A304" s="55" t="s">
        <v>795</v>
      </c>
      <c r="B304" s="74" t="s">
        <v>258</v>
      </c>
      <c r="C304" s="74" t="s">
        <v>259</v>
      </c>
      <c r="D304" s="75" t="s">
        <v>257</v>
      </c>
      <c r="E304" s="58" t="s">
        <v>260</v>
      </c>
      <c r="F304" s="59" t="s">
        <v>245</v>
      </c>
      <c r="H304" s="60" t="s">
        <v>795</v>
      </c>
      <c r="I304" s="61" t="s">
        <v>249</v>
      </c>
      <c r="J304" s="62" t="s">
        <v>250</v>
      </c>
      <c r="K304" s="62" t="s">
        <v>248</v>
      </c>
      <c r="L304" s="81" t="s">
        <v>245</v>
      </c>
      <c r="M304">
        <v>2</v>
      </c>
    </row>
    <row r="305" spans="1:13" ht="16.5" thickBot="1" x14ac:dyDescent="0.3">
      <c r="A305" s="55" t="s">
        <v>796</v>
      </c>
      <c r="B305" s="76" t="s">
        <v>264</v>
      </c>
      <c r="C305" s="76" t="s">
        <v>265</v>
      </c>
      <c r="D305" s="77" t="s">
        <v>263</v>
      </c>
      <c r="E305" s="58" t="s">
        <v>260</v>
      </c>
      <c r="F305" s="59" t="s">
        <v>267</v>
      </c>
      <c r="H305" s="60" t="s">
        <v>796</v>
      </c>
      <c r="I305" s="61" t="s">
        <v>249</v>
      </c>
      <c r="J305" s="62" t="s">
        <v>250</v>
      </c>
      <c r="K305" s="62" t="s">
        <v>248</v>
      </c>
      <c r="L305" s="67" t="s">
        <v>267</v>
      </c>
      <c r="M305">
        <v>1</v>
      </c>
    </row>
    <row r="306" spans="1:13" ht="16.5" thickBot="1" x14ac:dyDescent="0.3">
      <c r="A306" s="55" t="s">
        <v>797</v>
      </c>
      <c r="B306" s="74" t="s">
        <v>259</v>
      </c>
      <c r="C306" s="74" t="s">
        <v>257</v>
      </c>
      <c r="D306" s="75" t="s">
        <v>258</v>
      </c>
      <c r="E306" s="58" t="s">
        <v>260</v>
      </c>
      <c r="F306" s="59" t="s">
        <v>269</v>
      </c>
      <c r="H306" s="60" t="s">
        <v>797</v>
      </c>
      <c r="I306" s="61" t="s">
        <v>248</v>
      </c>
      <c r="J306" s="62" t="s">
        <v>249</v>
      </c>
      <c r="K306" s="62" t="s">
        <v>250</v>
      </c>
      <c r="L306" s="63" t="s">
        <v>269</v>
      </c>
      <c r="M306">
        <v>2</v>
      </c>
    </row>
    <row r="307" spans="1:13" ht="16.5" thickBot="1" x14ac:dyDescent="0.3">
      <c r="A307" s="55" t="s">
        <v>798</v>
      </c>
      <c r="B307" s="64" t="s">
        <v>265</v>
      </c>
      <c r="C307" s="64" t="s">
        <v>263</v>
      </c>
      <c r="D307" s="65" t="s">
        <v>264</v>
      </c>
      <c r="E307" s="58" t="s">
        <v>260</v>
      </c>
      <c r="F307" s="59" t="s">
        <v>271</v>
      </c>
      <c r="H307" s="60" t="s">
        <v>798</v>
      </c>
      <c r="I307" s="61" t="s">
        <v>248</v>
      </c>
      <c r="J307" s="62" t="s">
        <v>249</v>
      </c>
      <c r="K307" s="62" t="s">
        <v>250</v>
      </c>
      <c r="L307" s="67" t="s">
        <v>271</v>
      </c>
      <c r="M307">
        <v>1</v>
      </c>
    </row>
    <row r="308" spans="1:13" ht="16.5" thickBot="1" x14ac:dyDescent="0.3">
      <c r="A308" s="55" t="s">
        <v>799</v>
      </c>
      <c r="B308" s="74" t="s">
        <v>257</v>
      </c>
      <c r="C308" s="74" t="s">
        <v>258</v>
      </c>
      <c r="D308" s="75" t="s">
        <v>259</v>
      </c>
      <c r="E308" s="58" t="s">
        <v>260</v>
      </c>
      <c r="F308" s="59" t="s">
        <v>273</v>
      </c>
      <c r="H308" s="60" t="s">
        <v>799</v>
      </c>
      <c r="I308" s="61" t="s">
        <v>250</v>
      </c>
      <c r="J308" s="62" t="s">
        <v>248</v>
      </c>
      <c r="K308" s="62" t="s">
        <v>249</v>
      </c>
      <c r="L308" s="63" t="s">
        <v>273</v>
      </c>
      <c r="M308">
        <v>2</v>
      </c>
    </row>
    <row r="309" spans="1:13" ht="16.5" thickBot="1" x14ac:dyDescent="0.3">
      <c r="A309" s="55" t="s">
        <v>800</v>
      </c>
      <c r="B309" s="64" t="s">
        <v>263</v>
      </c>
      <c r="C309" s="64" t="s">
        <v>264</v>
      </c>
      <c r="D309" s="65" t="s">
        <v>265</v>
      </c>
      <c r="E309" s="58" t="s">
        <v>260</v>
      </c>
      <c r="F309" s="59" t="s">
        <v>275</v>
      </c>
      <c r="H309" s="60" t="s">
        <v>800</v>
      </c>
      <c r="I309" s="61" t="s">
        <v>250</v>
      </c>
      <c r="J309" s="62" t="s">
        <v>248</v>
      </c>
      <c r="K309" s="62" t="s">
        <v>249</v>
      </c>
      <c r="L309" s="67" t="s">
        <v>275</v>
      </c>
      <c r="M309">
        <v>1</v>
      </c>
    </row>
    <row r="310" spans="1:13" ht="16.5" thickBot="1" x14ac:dyDescent="0.3">
      <c r="A310" s="55" t="s">
        <v>801</v>
      </c>
      <c r="B310" s="74" t="s">
        <v>258</v>
      </c>
      <c r="C310" s="74" t="s">
        <v>259</v>
      </c>
      <c r="D310" s="75" t="s">
        <v>257</v>
      </c>
      <c r="E310" s="58" t="s">
        <v>260</v>
      </c>
      <c r="F310" s="59" t="s">
        <v>261</v>
      </c>
      <c r="H310" s="60" t="s">
        <v>801</v>
      </c>
      <c r="I310" s="79" t="s">
        <v>249</v>
      </c>
      <c r="J310" s="80" t="s">
        <v>250</v>
      </c>
      <c r="K310" s="80" t="s">
        <v>248</v>
      </c>
      <c r="L310" s="63" t="s">
        <v>261</v>
      </c>
      <c r="M310">
        <v>2</v>
      </c>
    </row>
    <row r="311" spans="1:13" ht="16.5" thickBot="1" x14ac:dyDescent="0.3">
      <c r="A311" s="55" t="s">
        <v>802</v>
      </c>
      <c r="B311" s="76" t="s">
        <v>264</v>
      </c>
      <c r="C311" s="76" t="s">
        <v>265</v>
      </c>
      <c r="D311" s="77" t="s">
        <v>263</v>
      </c>
      <c r="E311" s="58" t="s">
        <v>260</v>
      </c>
      <c r="F311" s="59" t="s">
        <v>245</v>
      </c>
      <c r="H311" s="60" t="s">
        <v>802</v>
      </c>
      <c r="I311" s="61" t="s">
        <v>249</v>
      </c>
      <c r="J311" s="62" t="s">
        <v>250</v>
      </c>
      <c r="K311" s="62" t="s">
        <v>248</v>
      </c>
      <c r="L311" s="81" t="s">
        <v>245</v>
      </c>
      <c r="M311">
        <v>1</v>
      </c>
    </row>
    <row r="312" spans="1:13" ht="16.5" thickBot="1" x14ac:dyDescent="0.3">
      <c r="A312" s="55" t="s">
        <v>803</v>
      </c>
      <c r="B312" s="74" t="s">
        <v>259</v>
      </c>
      <c r="C312" s="74" t="s">
        <v>257</v>
      </c>
      <c r="D312" s="75" t="s">
        <v>258</v>
      </c>
      <c r="E312" s="58" t="s">
        <v>260</v>
      </c>
      <c r="F312" s="59" t="s">
        <v>267</v>
      </c>
      <c r="H312" s="60" t="s">
        <v>803</v>
      </c>
      <c r="I312" s="61" t="s">
        <v>249</v>
      </c>
      <c r="J312" s="62" t="s">
        <v>250</v>
      </c>
      <c r="K312" s="62" t="s">
        <v>248</v>
      </c>
      <c r="L312" s="67" t="s">
        <v>267</v>
      </c>
      <c r="M312">
        <v>2</v>
      </c>
    </row>
    <row r="313" spans="1:13" ht="16.5" thickBot="1" x14ac:dyDescent="0.3">
      <c r="A313" s="55" t="s">
        <v>804</v>
      </c>
      <c r="B313" s="64" t="s">
        <v>265</v>
      </c>
      <c r="C313" s="64" t="s">
        <v>263</v>
      </c>
      <c r="D313" s="65" t="s">
        <v>264</v>
      </c>
      <c r="E313" s="58" t="s">
        <v>260</v>
      </c>
      <c r="F313" s="59" t="s">
        <v>269</v>
      </c>
      <c r="H313" s="60" t="s">
        <v>804</v>
      </c>
      <c r="I313" s="61" t="s">
        <v>248</v>
      </c>
      <c r="J313" s="62" t="s">
        <v>249</v>
      </c>
      <c r="K313" s="62" t="s">
        <v>250</v>
      </c>
      <c r="L313" s="63" t="s">
        <v>269</v>
      </c>
      <c r="M313">
        <v>1</v>
      </c>
    </row>
    <row r="314" spans="1:13" ht="16.5" thickBot="1" x14ac:dyDescent="0.3">
      <c r="A314" s="55" t="s">
        <v>805</v>
      </c>
      <c r="B314" s="74" t="s">
        <v>257</v>
      </c>
      <c r="C314" s="74" t="s">
        <v>258</v>
      </c>
      <c r="D314" s="75" t="s">
        <v>259</v>
      </c>
      <c r="E314" s="58" t="s">
        <v>260</v>
      </c>
      <c r="F314" s="59" t="s">
        <v>271</v>
      </c>
      <c r="H314" s="60" t="s">
        <v>805</v>
      </c>
      <c r="I314" s="61" t="s">
        <v>248</v>
      </c>
      <c r="J314" s="62" t="s">
        <v>249</v>
      </c>
      <c r="K314" s="62" t="s">
        <v>250</v>
      </c>
      <c r="L314" s="67" t="s">
        <v>271</v>
      </c>
      <c r="M314">
        <v>2</v>
      </c>
    </row>
    <row r="315" spans="1:13" ht="16.5" thickBot="1" x14ac:dyDescent="0.3">
      <c r="A315" s="55" t="s">
        <v>806</v>
      </c>
      <c r="B315" s="64" t="s">
        <v>263</v>
      </c>
      <c r="C315" s="64" t="s">
        <v>264</v>
      </c>
      <c r="D315" s="65" t="s">
        <v>265</v>
      </c>
      <c r="E315" s="58" t="s">
        <v>260</v>
      </c>
      <c r="F315" s="59" t="s">
        <v>273</v>
      </c>
      <c r="H315" s="60" t="s">
        <v>806</v>
      </c>
      <c r="I315" s="61" t="s">
        <v>250</v>
      </c>
      <c r="J315" s="62" t="s">
        <v>248</v>
      </c>
      <c r="K315" s="62" t="s">
        <v>249</v>
      </c>
      <c r="L315" s="63" t="s">
        <v>273</v>
      </c>
      <c r="M315">
        <v>1</v>
      </c>
    </row>
    <row r="316" spans="1:13" ht="16.5" thickBot="1" x14ac:dyDescent="0.3">
      <c r="A316" s="55" t="s">
        <v>807</v>
      </c>
      <c r="B316" s="74" t="s">
        <v>258</v>
      </c>
      <c r="C316" s="74" t="s">
        <v>259</v>
      </c>
      <c r="D316" s="75" t="s">
        <v>257</v>
      </c>
      <c r="E316" s="58" t="s">
        <v>260</v>
      </c>
      <c r="F316" s="59" t="s">
        <v>275</v>
      </c>
      <c r="H316" s="60" t="s">
        <v>807</v>
      </c>
      <c r="I316" s="61" t="s">
        <v>249</v>
      </c>
      <c r="J316" s="62" t="s">
        <v>250</v>
      </c>
      <c r="K316" s="62" t="s">
        <v>248</v>
      </c>
      <c r="L316" s="67" t="s">
        <v>275</v>
      </c>
      <c r="M316">
        <v>2</v>
      </c>
    </row>
    <row r="317" spans="1:13" ht="16.5" thickBot="1" x14ac:dyDescent="0.3">
      <c r="A317" s="55" t="s">
        <v>808</v>
      </c>
      <c r="B317" s="76" t="s">
        <v>264</v>
      </c>
      <c r="C317" s="76" t="s">
        <v>265</v>
      </c>
      <c r="D317" s="77" t="s">
        <v>263</v>
      </c>
      <c r="E317" s="58" t="s">
        <v>260</v>
      </c>
      <c r="F317" s="59" t="s">
        <v>261</v>
      </c>
      <c r="H317" s="60" t="s">
        <v>808</v>
      </c>
      <c r="I317" s="61" t="s">
        <v>249</v>
      </c>
      <c r="J317" s="62" t="s">
        <v>250</v>
      </c>
      <c r="K317" s="62" t="s">
        <v>248</v>
      </c>
      <c r="L317" s="63" t="s">
        <v>261</v>
      </c>
      <c r="M317">
        <v>1</v>
      </c>
    </row>
    <row r="318" spans="1:13" ht="16.5" thickBot="1" x14ac:dyDescent="0.3">
      <c r="A318" s="55" t="s">
        <v>809</v>
      </c>
      <c r="B318" s="74" t="s">
        <v>259</v>
      </c>
      <c r="C318" s="74" t="s">
        <v>257</v>
      </c>
      <c r="D318" s="75" t="s">
        <v>258</v>
      </c>
      <c r="E318" s="58" t="s">
        <v>260</v>
      </c>
      <c r="F318" s="59" t="s">
        <v>245</v>
      </c>
      <c r="H318" s="66" t="s">
        <v>809</v>
      </c>
      <c r="I318" s="61" t="s">
        <v>248</v>
      </c>
      <c r="J318" s="62" t="s">
        <v>249</v>
      </c>
      <c r="K318" s="62" t="s">
        <v>250</v>
      </c>
      <c r="L318" s="81" t="s">
        <v>245</v>
      </c>
      <c r="M318">
        <v>1</v>
      </c>
    </row>
    <row r="319" spans="1:13" ht="16.5" thickBot="1" x14ac:dyDescent="0.3">
      <c r="A319" s="55" t="s">
        <v>810</v>
      </c>
      <c r="B319" s="64" t="s">
        <v>265</v>
      </c>
      <c r="C319" s="64" t="s">
        <v>263</v>
      </c>
      <c r="D319" s="65" t="s">
        <v>264</v>
      </c>
      <c r="E319" s="58" t="s">
        <v>260</v>
      </c>
      <c r="F319" s="59" t="s">
        <v>267</v>
      </c>
      <c r="H319" s="66" t="s">
        <v>810</v>
      </c>
      <c r="I319" s="61" t="s">
        <v>248</v>
      </c>
      <c r="J319" s="62" t="s">
        <v>249</v>
      </c>
      <c r="K319" s="62" t="s">
        <v>250</v>
      </c>
      <c r="L319" s="67" t="s">
        <v>267</v>
      </c>
      <c r="M319">
        <v>2</v>
      </c>
    </row>
    <row r="320" spans="1:13" ht="16.5" thickBot="1" x14ac:dyDescent="0.3">
      <c r="A320" s="55" t="s">
        <v>811</v>
      </c>
      <c r="B320" s="74" t="s">
        <v>257</v>
      </c>
      <c r="C320" s="74" t="s">
        <v>258</v>
      </c>
      <c r="D320" s="75" t="s">
        <v>259</v>
      </c>
      <c r="E320" s="58" t="s">
        <v>260</v>
      </c>
      <c r="F320" s="59" t="s">
        <v>269</v>
      </c>
      <c r="H320" s="66" t="s">
        <v>811</v>
      </c>
      <c r="I320" s="61" t="s">
        <v>250</v>
      </c>
      <c r="J320" s="62" t="s">
        <v>248</v>
      </c>
      <c r="K320" s="62" t="s">
        <v>249</v>
      </c>
      <c r="L320" s="63" t="s">
        <v>269</v>
      </c>
      <c r="M320">
        <v>1</v>
      </c>
    </row>
    <row r="321" spans="1:13" ht="16.5" thickBot="1" x14ac:dyDescent="0.3">
      <c r="A321" s="55" t="s">
        <v>812</v>
      </c>
      <c r="B321" s="64" t="s">
        <v>263</v>
      </c>
      <c r="C321" s="64" t="s">
        <v>264</v>
      </c>
      <c r="D321" s="65" t="s">
        <v>265</v>
      </c>
      <c r="E321" s="58" t="s">
        <v>260</v>
      </c>
      <c r="F321" s="59" t="s">
        <v>271</v>
      </c>
      <c r="H321" s="66" t="s">
        <v>812</v>
      </c>
      <c r="I321" s="61" t="s">
        <v>250</v>
      </c>
      <c r="J321" s="62" t="s">
        <v>248</v>
      </c>
      <c r="K321" s="62" t="s">
        <v>249</v>
      </c>
      <c r="L321" s="67" t="s">
        <v>271</v>
      </c>
      <c r="M321">
        <v>2</v>
      </c>
    </row>
    <row r="322" spans="1:13" ht="16.5" thickBot="1" x14ac:dyDescent="0.3">
      <c r="A322" s="55" t="s">
        <v>813</v>
      </c>
      <c r="B322" s="74" t="s">
        <v>258</v>
      </c>
      <c r="C322" s="74" t="s">
        <v>259</v>
      </c>
      <c r="D322" s="75" t="s">
        <v>257</v>
      </c>
      <c r="E322" s="58" t="s">
        <v>260</v>
      </c>
      <c r="F322" s="59" t="s">
        <v>273</v>
      </c>
      <c r="H322" s="66" t="s">
        <v>813</v>
      </c>
      <c r="I322" s="79" t="s">
        <v>249</v>
      </c>
      <c r="J322" s="80" t="s">
        <v>250</v>
      </c>
      <c r="K322" s="80" t="s">
        <v>248</v>
      </c>
      <c r="L322" s="63" t="s">
        <v>273</v>
      </c>
      <c r="M322">
        <v>1</v>
      </c>
    </row>
    <row r="323" spans="1:13" ht="16.5" thickBot="1" x14ac:dyDescent="0.3">
      <c r="A323" s="55" t="s">
        <v>814</v>
      </c>
      <c r="B323" s="76" t="s">
        <v>264</v>
      </c>
      <c r="C323" s="76" t="s">
        <v>265</v>
      </c>
      <c r="D323" s="77" t="s">
        <v>263</v>
      </c>
      <c r="E323" s="58" t="s">
        <v>260</v>
      </c>
      <c r="F323" s="59" t="s">
        <v>275</v>
      </c>
      <c r="H323" s="66" t="s">
        <v>814</v>
      </c>
      <c r="I323" s="61" t="s">
        <v>249</v>
      </c>
      <c r="J323" s="62" t="s">
        <v>250</v>
      </c>
      <c r="K323" s="62" t="s">
        <v>248</v>
      </c>
      <c r="L323" s="67" t="s">
        <v>275</v>
      </c>
      <c r="M323">
        <v>2</v>
      </c>
    </row>
    <row r="324" spans="1:13" ht="16.5" thickBot="1" x14ac:dyDescent="0.3">
      <c r="A324" s="55" t="s">
        <v>815</v>
      </c>
      <c r="B324" s="74" t="s">
        <v>259</v>
      </c>
      <c r="C324" s="74" t="s">
        <v>257</v>
      </c>
      <c r="D324" s="75" t="s">
        <v>258</v>
      </c>
      <c r="E324" s="58" t="s">
        <v>260</v>
      </c>
      <c r="F324" s="59" t="s">
        <v>261</v>
      </c>
      <c r="H324" s="66" t="s">
        <v>815</v>
      </c>
      <c r="I324" s="61" t="s">
        <v>249</v>
      </c>
      <c r="J324" s="62" t="s">
        <v>250</v>
      </c>
      <c r="K324" s="62" t="s">
        <v>248</v>
      </c>
      <c r="L324" s="63" t="s">
        <v>261</v>
      </c>
      <c r="M324">
        <v>1</v>
      </c>
    </row>
    <row r="325" spans="1:13" ht="16.5" thickBot="1" x14ac:dyDescent="0.3">
      <c r="A325" s="55" t="s">
        <v>816</v>
      </c>
      <c r="B325" s="64" t="s">
        <v>265</v>
      </c>
      <c r="C325" s="64" t="s">
        <v>263</v>
      </c>
      <c r="D325" s="65" t="s">
        <v>264</v>
      </c>
      <c r="E325" s="58" t="s">
        <v>260</v>
      </c>
      <c r="F325" s="59" t="s">
        <v>245</v>
      </c>
      <c r="H325" s="66" t="s">
        <v>816</v>
      </c>
      <c r="I325" s="61" t="s">
        <v>248</v>
      </c>
      <c r="J325" s="62" t="s">
        <v>249</v>
      </c>
      <c r="K325" s="62" t="s">
        <v>250</v>
      </c>
      <c r="L325" s="81" t="s">
        <v>245</v>
      </c>
      <c r="M325">
        <v>2</v>
      </c>
    </row>
    <row r="326" spans="1:13" ht="16.5" thickBot="1" x14ac:dyDescent="0.3">
      <c r="A326" s="55" t="s">
        <v>817</v>
      </c>
      <c r="B326" s="74" t="s">
        <v>257</v>
      </c>
      <c r="C326" s="74" t="s">
        <v>258</v>
      </c>
      <c r="D326" s="75" t="s">
        <v>259</v>
      </c>
      <c r="E326" s="58" t="s">
        <v>260</v>
      </c>
      <c r="F326" s="59" t="s">
        <v>267</v>
      </c>
      <c r="H326" s="66" t="s">
        <v>817</v>
      </c>
      <c r="I326" s="61" t="s">
        <v>248</v>
      </c>
      <c r="J326" s="62" t="s">
        <v>249</v>
      </c>
      <c r="K326" s="62" t="s">
        <v>250</v>
      </c>
      <c r="L326" s="67" t="s">
        <v>267</v>
      </c>
      <c r="M326">
        <v>1</v>
      </c>
    </row>
    <row r="327" spans="1:13" ht="16.5" thickBot="1" x14ac:dyDescent="0.3">
      <c r="A327" s="55" t="s">
        <v>818</v>
      </c>
      <c r="B327" s="64" t="s">
        <v>263</v>
      </c>
      <c r="C327" s="64" t="s">
        <v>264</v>
      </c>
      <c r="D327" s="65" t="s">
        <v>265</v>
      </c>
      <c r="E327" s="58" t="s">
        <v>260</v>
      </c>
      <c r="F327" s="59" t="s">
        <v>269</v>
      </c>
      <c r="H327" s="66" t="s">
        <v>818</v>
      </c>
      <c r="I327" s="61" t="s">
        <v>250</v>
      </c>
      <c r="J327" s="62" t="s">
        <v>248</v>
      </c>
      <c r="K327" s="62" t="s">
        <v>249</v>
      </c>
      <c r="L327" s="63" t="s">
        <v>269</v>
      </c>
      <c r="M327">
        <v>2</v>
      </c>
    </row>
    <row r="328" spans="1:13" ht="16.5" thickBot="1" x14ac:dyDescent="0.3">
      <c r="A328" s="55" t="s">
        <v>819</v>
      </c>
      <c r="B328" s="74" t="s">
        <v>258</v>
      </c>
      <c r="C328" s="74" t="s">
        <v>259</v>
      </c>
      <c r="D328" s="75" t="s">
        <v>257</v>
      </c>
      <c r="E328" s="58" t="s">
        <v>260</v>
      </c>
      <c r="F328" s="59" t="s">
        <v>271</v>
      </c>
      <c r="H328" s="66" t="s">
        <v>819</v>
      </c>
      <c r="I328" s="61" t="s">
        <v>250</v>
      </c>
      <c r="J328" s="62" t="s">
        <v>248</v>
      </c>
      <c r="K328" s="62" t="s">
        <v>249</v>
      </c>
      <c r="L328" s="67" t="s">
        <v>271</v>
      </c>
      <c r="M328">
        <v>1</v>
      </c>
    </row>
    <row r="329" spans="1:13" ht="16.5" thickBot="1" x14ac:dyDescent="0.3">
      <c r="A329" s="55" t="s">
        <v>820</v>
      </c>
      <c r="B329" s="76" t="s">
        <v>264</v>
      </c>
      <c r="C329" s="76" t="s">
        <v>265</v>
      </c>
      <c r="D329" s="77" t="s">
        <v>263</v>
      </c>
      <c r="E329" s="58" t="s">
        <v>260</v>
      </c>
      <c r="F329" s="59" t="s">
        <v>273</v>
      </c>
      <c r="H329" s="66" t="s">
        <v>820</v>
      </c>
      <c r="I329" s="79" t="s">
        <v>249</v>
      </c>
      <c r="J329" s="80" t="s">
        <v>250</v>
      </c>
      <c r="K329" s="80" t="s">
        <v>248</v>
      </c>
      <c r="L329" s="63" t="s">
        <v>273</v>
      </c>
      <c r="M329">
        <v>2</v>
      </c>
    </row>
    <row r="330" spans="1:13" ht="16.5" thickBot="1" x14ac:dyDescent="0.3">
      <c r="A330" s="55" t="s">
        <v>821</v>
      </c>
      <c r="B330" s="74" t="s">
        <v>259</v>
      </c>
      <c r="C330" s="74" t="s">
        <v>257</v>
      </c>
      <c r="D330" s="75" t="s">
        <v>258</v>
      </c>
      <c r="E330" s="58" t="s">
        <v>260</v>
      </c>
      <c r="F330" s="59" t="s">
        <v>275</v>
      </c>
      <c r="H330" s="66" t="s">
        <v>821</v>
      </c>
      <c r="I330" s="61" t="s">
        <v>249</v>
      </c>
      <c r="J330" s="62" t="s">
        <v>250</v>
      </c>
      <c r="K330" s="62" t="s">
        <v>248</v>
      </c>
      <c r="L330" s="67" t="s">
        <v>275</v>
      </c>
      <c r="M330">
        <v>1</v>
      </c>
    </row>
    <row r="331" spans="1:13" ht="16.5" thickBot="1" x14ac:dyDescent="0.3">
      <c r="A331" s="55" t="s">
        <v>822</v>
      </c>
      <c r="B331" s="64" t="s">
        <v>265</v>
      </c>
      <c r="C331" s="64" t="s">
        <v>263</v>
      </c>
      <c r="D331" s="65" t="s">
        <v>264</v>
      </c>
      <c r="E331" s="58" t="s">
        <v>260</v>
      </c>
      <c r="F331" s="59" t="s">
        <v>261</v>
      </c>
      <c r="H331" s="66" t="s">
        <v>822</v>
      </c>
      <c r="I331" s="61" t="s">
        <v>249</v>
      </c>
      <c r="J331" s="62" t="s">
        <v>250</v>
      </c>
      <c r="K331" s="62" t="s">
        <v>248</v>
      </c>
      <c r="L331" s="63" t="s">
        <v>261</v>
      </c>
      <c r="M331">
        <v>2</v>
      </c>
    </row>
    <row r="332" spans="1:13" ht="16.5" thickBot="1" x14ac:dyDescent="0.3">
      <c r="A332" s="55" t="s">
        <v>823</v>
      </c>
      <c r="B332" s="74" t="s">
        <v>257</v>
      </c>
      <c r="C332" s="74" t="s">
        <v>258</v>
      </c>
      <c r="D332" s="75" t="s">
        <v>259</v>
      </c>
      <c r="E332" s="58" t="s">
        <v>260</v>
      </c>
      <c r="F332" s="59" t="s">
        <v>245</v>
      </c>
      <c r="H332" s="66" t="s">
        <v>823</v>
      </c>
      <c r="I332" s="61" t="s">
        <v>248</v>
      </c>
      <c r="J332" s="62" t="s">
        <v>249</v>
      </c>
      <c r="K332" s="62" t="s">
        <v>250</v>
      </c>
      <c r="L332" s="81" t="s">
        <v>245</v>
      </c>
      <c r="M332">
        <v>1</v>
      </c>
    </row>
    <row r="333" spans="1:13" ht="16.5" thickBot="1" x14ac:dyDescent="0.3">
      <c r="A333" s="55" t="s">
        <v>824</v>
      </c>
      <c r="B333" s="64" t="s">
        <v>263</v>
      </c>
      <c r="C333" s="64" t="s">
        <v>264</v>
      </c>
      <c r="D333" s="65" t="s">
        <v>265</v>
      </c>
      <c r="E333" s="58" t="s">
        <v>260</v>
      </c>
      <c r="F333" s="59" t="s">
        <v>267</v>
      </c>
      <c r="H333" s="66" t="s">
        <v>824</v>
      </c>
      <c r="I333" s="61" t="s">
        <v>248</v>
      </c>
      <c r="J333" s="62" t="s">
        <v>249</v>
      </c>
      <c r="K333" s="62" t="s">
        <v>250</v>
      </c>
      <c r="L333" s="67" t="s">
        <v>267</v>
      </c>
      <c r="M333">
        <v>1</v>
      </c>
    </row>
    <row r="334" spans="1:13" ht="16.5" thickBot="1" x14ac:dyDescent="0.3">
      <c r="A334" s="55" t="s">
        <v>825</v>
      </c>
      <c r="B334" s="74" t="s">
        <v>258</v>
      </c>
      <c r="C334" s="74" t="s">
        <v>259</v>
      </c>
      <c r="D334" s="75" t="s">
        <v>257</v>
      </c>
      <c r="E334" s="58" t="s">
        <v>260</v>
      </c>
      <c r="F334" s="59" t="s">
        <v>269</v>
      </c>
      <c r="H334" s="66" t="s">
        <v>825</v>
      </c>
      <c r="I334" s="61" t="s">
        <v>250</v>
      </c>
      <c r="J334" s="62" t="s">
        <v>248</v>
      </c>
      <c r="K334" s="62" t="s">
        <v>249</v>
      </c>
      <c r="L334" s="63" t="s">
        <v>269</v>
      </c>
      <c r="M334">
        <v>2</v>
      </c>
    </row>
    <row r="335" spans="1:13" ht="16.5" thickBot="1" x14ac:dyDescent="0.3">
      <c r="A335" s="55" t="s">
        <v>826</v>
      </c>
      <c r="B335" s="76" t="s">
        <v>264</v>
      </c>
      <c r="C335" s="76" t="s">
        <v>265</v>
      </c>
      <c r="D335" s="77" t="s">
        <v>263</v>
      </c>
      <c r="E335" s="58" t="s">
        <v>260</v>
      </c>
      <c r="F335" s="59" t="s">
        <v>271</v>
      </c>
      <c r="H335" s="66" t="s">
        <v>826</v>
      </c>
      <c r="I335" s="61" t="s">
        <v>249</v>
      </c>
      <c r="J335" s="62" t="s">
        <v>250</v>
      </c>
      <c r="K335" s="62" t="s">
        <v>248</v>
      </c>
      <c r="L335" s="67" t="s">
        <v>271</v>
      </c>
      <c r="M335">
        <v>1</v>
      </c>
    </row>
    <row r="336" spans="1:13" ht="16.5" thickBot="1" x14ac:dyDescent="0.3">
      <c r="A336" s="55" t="s">
        <v>827</v>
      </c>
      <c r="B336" s="74" t="s">
        <v>259</v>
      </c>
      <c r="C336" s="74" t="s">
        <v>257</v>
      </c>
      <c r="D336" s="75" t="s">
        <v>258</v>
      </c>
      <c r="E336" s="58" t="s">
        <v>260</v>
      </c>
      <c r="F336" s="59" t="s">
        <v>273</v>
      </c>
      <c r="H336" s="66" t="s">
        <v>827</v>
      </c>
      <c r="I336" s="61" t="s">
        <v>249</v>
      </c>
      <c r="J336" s="62" t="s">
        <v>250</v>
      </c>
      <c r="K336" s="62" t="s">
        <v>248</v>
      </c>
      <c r="L336" s="63" t="s">
        <v>273</v>
      </c>
      <c r="M336">
        <v>2</v>
      </c>
    </row>
    <row r="337" spans="1:13" ht="16.5" thickBot="1" x14ac:dyDescent="0.3">
      <c r="A337" s="55" t="s">
        <v>828</v>
      </c>
      <c r="B337" s="64" t="s">
        <v>265</v>
      </c>
      <c r="C337" s="64" t="s">
        <v>263</v>
      </c>
      <c r="D337" s="65" t="s">
        <v>264</v>
      </c>
      <c r="E337" s="58" t="s">
        <v>260</v>
      </c>
      <c r="F337" s="59" t="s">
        <v>275</v>
      </c>
      <c r="H337" s="66" t="s">
        <v>828</v>
      </c>
      <c r="I337" s="61" t="s">
        <v>248</v>
      </c>
      <c r="J337" s="62" t="s">
        <v>249</v>
      </c>
      <c r="K337" s="62" t="s">
        <v>250</v>
      </c>
      <c r="L337" s="67" t="s">
        <v>275</v>
      </c>
      <c r="M337">
        <v>1</v>
      </c>
    </row>
    <row r="338" spans="1:13" ht="16.5" thickBot="1" x14ac:dyDescent="0.3">
      <c r="A338" s="55" t="s">
        <v>829</v>
      </c>
      <c r="B338" s="74" t="s">
        <v>257</v>
      </c>
      <c r="C338" s="74" t="s">
        <v>258</v>
      </c>
      <c r="D338" s="75" t="s">
        <v>259</v>
      </c>
      <c r="E338" s="58" t="s">
        <v>260</v>
      </c>
      <c r="F338" s="59" t="s">
        <v>261</v>
      </c>
      <c r="H338" s="66" t="s">
        <v>829</v>
      </c>
      <c r="I338" s="61" t="s">
        <v>248</v>
      </c>
      <c r="J338" s="62" t="s">
        <v>249</v>
      </c>
      <c r="K338" s="62" t="s">
        <v>250</v>
      </c>
      <c r="L338" s="63" t="s">
        <v>261</v>
      </c>
      <c r="M338">
        <v>2</v>
      </c>
    </row>
    <row r="339" spans="1:13" ht="16.5" thickBot="1" x14ac:dyDescent="0.3">
      <c r="A339" s="55" t="s">
        <v>830</v>
      </c>
      <c r="B339" s="64" t="s">
        <v>263</v>
      </c>
      <c r="C339" s="64" t="s">
        <v>264</v>
      </c>
      <c r="D339" s="65" t="s">
        <v>265</v>
      </c>
      <c r="E339" s="58" t="s">
        <v>260</v>
      </c>
      <c r="F339" s="59" t="s">
        <v>245</v>
      </c>
      <c r="H339" s="66" t="s">
        <v>830</v>
      </c>
      <c r="I339" s="61" t="s">
        <v>250</v>
      </c>
      <c r="J339" s="62" t="s">
        <v>248</v>
      </c>
      <c r="K339" s="62" t="s">
        <v>249</v>
      </c>
      <c r="L339" s="81" t="s">
        <v>245</v>
      </c>
      <c r="M339">
        <v>1</v>
      </c>
    </row>
    <row r="340" spans="1:13" ht="16.5" thickBot="1" x14ac:dyDescent="0.3">
      <c r="A340" s="55" t="s">
        <v>831</v>
      </c>
      <c r="B340" s="74" t="s">
        <v>258</v>
      </c>
      <c r="C340" s="74" t="s">
        <v>259</v>
      </c>
      <c r="D340" s="75" t="s">
        <v>257</v>
      </c>
      <c r="E340" s="58" t="s">
        <v>260</v>
      </c>
      <c r="F340" s="59" t="s">
        <v>267</v>
      </c>
      <c r="H340" s="66" t="s">
        <v>831</v>
      </c>
      <c r="I340" s="61" t="s">
        <v>250</v>
      </c>
      <c r="J340" s="62" t="s">
        <v>248</v>
      </c>
      <c r="K340" s="62" t="s">
        <v>249</v>
      </c>
      <c r="L340" s="67" t="s">
        <v>267</v>
      </c>
      <c r="M340">
        <v>2</v>
      </c>
    </row>
    <row r="341" spans="1:13" ht="16.5" thickBot="1" x14ac:dyDescent="0.3">
      <c r="A341" s="55" t="s">
        <v>832</v>
      </c>
      <c r="B341" s="76" t="s">
        <v>264</v>
      </c>
      <c r="C341" s="76" t="s">
        <v>265</v>
      </c>
      <c r="D341" s="77" t="s">
        <v>263</v>
      </c>
      <c r="E341" s="58" t="s">
        <v>260</v>
      </c>
      <c r="F341" s="59" t="s">
        <v>269</v>
      </c>
      <c r="H341" s="66" t="s">
        <v>832</v>
      </c>
      <c r="I341" s="79" t="s">
        <v>249</v>
      </c>
      <c r="J341" s="80" t="s">
        <v>250</v>
      </c>
      <c r="K341" s="80" t="s">
        <v>248</v>
      </c>
      <c r="L341" s="63" t="s">
        <v>269</v>
      </c>
      <c r="M341">
        <v>1</v>
      </c>
    </row>
    <row r="342" spans="1:13" ht="16.5" thickBot="1" x14ac:dyDescent="0.3">
      <c r="A342" s="55" t="s">
        <v>833</v>
      </c>
      <c r="B342" s="74" t="s">
        <v>259</v>
      </c>
      <c r="C342" s="74" t="s">
        <v>257</v>
      </c>
      <c r="D342" s="75" t="s">
        <v>258</v>
      </c>
      <c r="E342" s="58" t="s">
        <v>260</v>
      </c>
      <c r="F342" s="59" t="s">
        <v>271</v>
      </c>
      <c r="H342" s="66" t="s">
        <v>833</v>
      </c>
      <c r="I342" s="61" t="s">
        <v>249</v>
      </c>
      <c r="J342" s="62" t="s">
        <v>250</v>
      </c>
      <c r="K342" s="62" t="s">
        <v>248</v>
      </c>
      <c r="L342" s="67" t="s">
        <v>271</v>
      </c>
      <c r="M342">
        <v>2</v>
      </c>
    </row>
    <row r="343" spans="1:13" ht="16.5" thickBot="1" x14ac:dyDescent="0.3">
      <c r="A343" s="55" t="s">
        <v>834</v>
      </c>
      <c r="B343" s="64" t="s">
        <v>265</v>
      </c>
      <c r="C343" s="64" t="s">
        <v>263</v>
      </c>
      <c r="D343" s="65" t="s">
        <v>264</v>
      </c>
      <c r="E343" s="58" t="s">
        <v>260</v>
      </c>
      <c r="F343" s="59" t="s">
        <v>273</v>
      </c>
      <c r="H343" s="66" t="s">
        <v>834</v>
      </c>
      <c r="I343" s="61" t="s">
        <v>249</v>
      </c>
      <c r="J343" s="62" t="s">
        <v>250</v>
      </c>
      <c r="K343" s="62" t="s">
        <v>248</v>
      </c>
      <c r="L343" s="63" t="s">
        <v>273</v>
      </c>
      <c r="M343">
        <v>1</v>
      </c>
    </row>
    <row r="344" spans="1:13" ht="16.5" thickBot="1" x14ac:dyDescent="0.3">
      <c r="A344" s="55" t="s">
        <v>835</v>
      </c>
      <c r="B344" s="74" t="s">
        <v>257</v>
      </c>
      <c r="C344" s="74" t="s">
        <v>258</v>
      </c>
      <c r="D344" s="75" t="s">
        <v>259</v>
      </c>
      <c r="E344" s="58" t="s">
        <v>260</v>
      </c>
      <c r="F344" s="59" t="s">
        <v>275</v>
      </c>
      <c r="H344" s="66" t="s">
        <v>835</v>
      </c>
      <c r="I344" s="61" t="s">
        <v>248</v>
      </c>
      <c r="J344" s="62" t="s">
        <v>249</v>
      </c>
      <c r="K344" s="62" t="s">
        <v>250</v>
      </c>
      <c r="L344" s="67" t="s">
        <v>275</v>
      </c>
      <c r="M344">
        <v>2</v>
      </c>
    </row>
    <row r="345" spans="1:13" ht="16.5" thickBot="1" x14ac:dyDescent="0.3">
      <c r="A345" s="55" t="s">
        <v>836</v>
      </c>
      <c r="B345" s="64" t="s">
        <v>263</v>
      </c>
      <c r="C345" s="64" t="s">
        <v>264</v>
      </c>
      <c r="D345" s="65" t="s">
        <v>265</v>
      </c>
      <c r="E345" s="58" t="s">
        <v>260</v>
      </c>
      <c r="F345" s="59" t="s">
        <v>261</v>
      </c>
      <c r="H345" s="66" t="s">
        <v>836</v>
      </c>
      <c r="I345" s="61" t="s">
        <v>248</v>
      </c>
      <c r="J345" s="62" t="s">
        <v>249</v>
      </c>
      <c r="K345" s="62" t="s">
        <v>250</v>
      </c>
      <c r="L345" s="63" t="s">
        <v>261</v>
      </c>
      <c r="M345">
        <v>1</v>
      </c>
    </row>
    <row r="346" spans="1:13" ht="16.5" thickBot="1" x14ac:dyDescent="0.3">
      <c r="A346" s="55" t="s">
        <v>837</v>
      </c>
      <c r="B346" s="74" t="s">
        <v>258</v>
      </c>
      <c r="C346" s="74" t="s">
        <v>259</v>
      </c>
      <c r="D346" s="75" t="s">
        <v>257</v>
      </c>
      <c r="E346" s="58" t="s">
        <v>260</v>
      </c>
      <c r="F346" s="59" t="s">
        <v>245</v>
      </c>
      <c r="H346" s="66" t="s">
        <v>837</v>
      </c>
      <c r="I346" s="61" t="s">
        <v>250</v>
      </c>
      <c r="J346" s="62" t="s">
        <v>248</v>
      </c>
      <c r="K346" s="62" t="s">
        <v>249</v>
      </c>
      <c r="L346" s="81" t="s">
        <v>245</v>
      </c>
      <c r="M346">
        <v>2</v>
      </c>
    </row>
    <row r="347" spans="1:13" ht="16.5" thickBot="1" x14ac:dyDescent="0.3">
      <c r="A347" s="55" t="s">
        <v>838</v>
      </c>
      <c r="B347" s="76" t="s">
        <v>264</v>
      </c>
      <c r="C347" s="76" t="s">
        <v>265</v>
      </c>
      <c r="D347" s="77" t="s">
        <v>263</v>
      </c>
      <c r="E347" s="58" t="s">
        <v>260</v>
      </c>
      <c r="F347" s="59" t="s">
        <v>267</v>
      </c>
      <c r="H347" s="66" t="s">
        <v>838</v>
      </c>
      <c r="I347" s="61" t="s">
        <v>250</v>
      </c>
      <c r="J347" s="62" t="s">
        <v>248</v>
      </c>
      <c r="K347" s="62" t="s">
        <v>249</v>
      </c>
      <c r="L347" s="67" t="s">
        <v>267</v>
      </c>
      <c r="M347">
        <v>1</v>
      </c>
    </row>
    <row r="348" spans="1:13" ht="16.5" thickBot="1" x14ac:dyDescent="0.3">
      <c r="A348" s="55" t="s">
        <v>839</v>
      </c>
      <c r="B348" s="74" t="s">
        <v>259</v>
      </c>
      <c r="C348" s="74" t="s">
        <v>257</v>
      </c>
      <c r="D348" s="75" t="s">
        <v>258</v>
      </c>
      <c r="E348" s="58" t="s">
        <v>260</v>
      </c>
      <c r="F348" s="59" t="s">
        <v>269</v>
      </c>
      <c r="H348" s="78" t="s">
        <v>839</v>
      </c>
      <c r="I348" s="79" t="s">
        <v>249</v>
      </c>
      <c r="J348" s="80" t="s">
        <v>250</v>
      </c>
      <c r="K348" s="80" t="s">
        <v>248</v>
      </c>
      <c r="L348" s="63" t="s">
        <v>269</v>
      </c>
      <c r="M348">
        <v>1</v>
      </c>
    </row>
    <row r="349" spans="1:13" ht="16.5" thickBot="1" x14ac:dyDescent="0.3">
      <c r="A349" s="55" t="s">
        <v>840</v>
      </c>
      <c r="B349" s="64" t="s">
        <v>265</v>
      </c>
      <c r="C349" s="64" t="s">
        <v>263</v>
      </c>
      <c r="D349" s="65" t="s">
        <v>264</v>
      </c>
      <c r="E349" s="58" t="s">
        <v>260</v>
      </c>
      <c r="F349" s="59" t="s">
        <v>271</v>
      </c>
      <c r="H349" s="78" t="s">
        <v>840</v>
      </c>
      <c r="I349" s="61" t="s">
        <v>249</v>
      </c>
      <c r="J349" s="62" t="s">
        <v>250</v>
      </c>
      <c r="K349" s="62" t="s">
        <v>248</v>
      </c>
      <c r="L349" s="67" t="s">
        <v>271</v>
      </c>
      <c r="M349">
        <v>2</v>
      </c>
    </row>
    <row r="350" spans="1:13" ht="16.5" thickBot="1" x14ac:dyDescent="0.3">
      <c r="A350" s="55" t="s">
        <v>841</v>
      </c>
      <c r="B350" s="74" t="s">
        <v>257</v>
      </c>
      <c r="C350" s="74" t="s">
        <v>258</v>
      </c>
      <c r="D350" s="75" t="s">
        <v>259</v>
      </c>
      <c r="E350" s="58" t="s">
        <v>260</v>
      </c>
      <c r="F350" s="59" t="s">
        <v>273</v>
      </c>
      <c r="H350" s="78" t="s">
        <v>841</v>
      </c>
      <c r="I350" s="61" t="s">
        <v>249</v>
      </c>
      <c r="J350" s="62" t="s">
        <v>250</v>
      </c>
      <c r="K350" s="62" t="s">
        <v>248</v>
      </c>
      <c r="L350" s="63" t="s">
        <v>273</v>
      </c>
      <c r="M350">
        <v>1</v>
      </c>
    </row>
    <row r="351" spans="1:13" ht="16.5" thickBot="1" x14ac:dyDescent="0.3">
      <c r="A351" s="55" t="s">
        <v>842</v>
      </c>
      <c r="B351" s="64" t="s">
        <v>263</v>
      </c>
      <c r="C351" s="64" t="s">
        <v>264</v>
      </c>
      <c r="D351" s="65" t="s">
        <v>265</v>
      </c>
      <c r="E351" s="58" t="s">
        <v>260</v>
      </c>
      <c r="F351" s="59" t="s">
        <v>275</v>
      </c>
      <c r="H351" s="78" t="s">
        <v>842</v>
      </c>
      <c r="I351" s="61" t="s">
        <v>248</v>
      </c>
      <c r="J351" s="62" t="s">
        <v>249</v>
      </c>
      <c r="K351" s="62" t="s">
        <v>250</v>
      </c>
      <c r="L351" s="67" t="s">
        <v>275</v>
      </c>
      <c r="M351">
        <v>2</v>
      </c>
    </row>
    <row r="352" spans="1:13" ht="16.5" thickBot="1" x14ac:dyDescent="0.3">
      <c r="A352" s="55" t="s">
        <v>843</v>
      </c>
      <c r="B352" s="74" t="s">
        <v>258</v>
      </c>
      <c r="C352" s="74" t="s">
        <v>259</v>
      </c>
      <c r="D352" s="75" t="s">
        <v>257</v>
      </c>
      <c r="E352" s="58" t="s">
        <v>260</v>
      </c>
      <c r="F352" s="59" t="s">
        <v>261</v>
      </c>
      <c r="H352" s="78" t="s">
        <v>843</v>
      </c>
      <c r="I352" s="61" t="s">
        <v>248</v>
      </c>
      <c r="J352" s="62" t="s">
        <v>249</v>
      </c>
      <c r="K352" s="62" t="s">
        <v>250</v>
      </c>
      <c r="L352" s="63" t="s">
        <v>261</v>
      </c>
      <c r="M352">
        <v>1</v>
      </c>
    </row>
    <row r="353" spans="1:13" ht="16.5" thickBot="1" x14ac:dyDescent="0.3">
      <c r="A353" s="55" t="s">
        <v>844</v>
      </c>
      <c r="B353" s="76" t="s">
        <v>264</v>
      </c>
      <c r="C353" s="76" t="s">
        <v>265</v>
      </c>
      <c r="D353" s="77" t="s">
        <v>263</v>
      </c>
      <c r="E353" s="58" t="s">
        <v>260</v>
      </c>
      <c r="F353" s="59" t="s">
        <v>245</v>
      </c>
      <c r="H353" s="78" t="s">
        <v>844</v>
      </c>
      <c r="I353" s="61" t="s">
        <v>250</v>
      </c>
      <c r="J353" s="62" t="s">
        <v>248</v>
      </c>
      <c r="K353" s="62" t="s">
        <v>249</v>
      </c>
      <c r="L353" s="81" t="s">
        <v>245</v>
      </c>
      <c r="M353">
        <v>2</v>
      </c>
    </row>
    <row r="354" spans="1:13" ht="16.5" thickBot="1" x14ac:dyDescent="0.3">
      <c r="A354" s="55" t="s">
        <v>845</v>
      </c>
      <c r="B354" s="74" t="s">
        <v>259</v>
      </c>
      <c r="C354" s="74" t="s">
        <v>257</v>
      </c>
      <c r="D354" s="75" t="s">
        <v>258</v>
      </c>
      <c r="E354" s="58" t="s">
        <v>260</v>
      </c>
      <c r="F354" s="59" t="s">
        <v>267</v>
      </c>
      <c r="H354" s="78" t="s">
        <v>845</v>
      </c>
      <c r="I354" s="61" t="s">
        <v>249</v>
      </c>
      <c r="J354" s="62" t="s">
        <v>250</v>
      </c>
      <c r="K354" s="62" t="s">
        <v>248</v>
      </c>
      <c r="L354" s="67" t="s">
        <v>267</v>
      </c>
      <c r="M354">
        <v>1</v>
      </c>
    </row>
    <row r="355" spans="1:13" ht="16.5" thickBot="1" x14ac:dyDescent="0.3">
      <c r="A355" s="55" t="s">
        <v>846</v>
      </c>
      <c r="B355" s="64" t="s">
        <v>265</v>
      </c>
      <c r="C355" s="64" t="s">
        <v>263</v>
      </c>
      <c r="D355" s="65" t="s">
        <v>264</v>
      </c>
      <c r="E355" s="58" t="s">
        <v>260</v>
      </c>
      <c r="F355" s="59" t="s">
        <v>269</v>
      </c>
      <c r="H355" s="78" t="s">
        <v>846</v>
      </c>
      <c r="I355" s="61" t="s">
        <v>249</v>
      </c>
      <c r="J355" s="62" t="s">
        <v>250</v>
      </c>
      <c r="K355" s="62" t="s">
        <v>248</v>
      </c>
      <c r="L355" s="63" t="s">
        <v>269</v>
      </c>
      <c r="M355">
        <v>2</v>
      </c>
    </row>
    <row r="356" spans="1:13" ht="16.5" thickBot="1" x14ac:dyDescent="0.3">
      <c r="A356" s="55" t="s">
        <v>847</v>
      </c>
      <c r="B356" s="74" t="s">
        <v>257</v>
      </c>
      <c r="C356" s="74" t="s">
        <v>258</v>
      </c>
      <c r="D356" s="75" t="s">
        <v>259</v>
      </c>
      <c r="E356" s="58" t="s">
        <v>260</v>
      </c>
      <c r="F356" s="59" t="s">
        <v>271</v>
      </c>
      <c r="H356" s="78" t="s">
        <v>847</v>
      </c>
      <c r="I356" s="61" t="s">
        <v>248</v>
      </c>
      <c r="J356" s="62" t="s">
        <v>249</v>
      </c>
      <c r="K356" s="62" t="s">
        <v>250</v>
      </c>
      <c r="L356" s="67" t="s">
        <v>271</v>
      </c>
      <c r="M356">
        <v>1</v>
      </c>
    </row>
    <row r="357" spans="1:13" ht="16.5" thickBot="1" x14ac:dyDescent="0.3">
      <c r="A357" s="55" t="s">
        <v>848</v>
      </c>
      <c r="B357" s="64" t="s">
        <v>263</v>
      </c>
      <c r="C357" s="64" t="s">
        <v>264</v>
      </c>
      <c r="D357" s="65" t="s">
        <v>265</v>
      </c>
      <c r="E357" s="58" t="s">
        <v>260</v>
      </c>
      <c r="F357" s="59" t="s">
        <v>273</v>
      </c>
      <c r="H357" s="78" t="s">
        <v>848</v>
      </c>
      <c r="I357" s="61" t="s">
        <v>248</v>
      </c>
      <c r="J357" s="62" t="s">
        <v>249</v>
      </c>
      <c r="K357" s="62" t="s">
        <v>250</v>
      </c>
      <c r="L357" s="63" t="s">
        <v>273</v>
      </c>
      <c r="M357">
        <v>2</v>
      </c>
    </row>
    <row r="358" spans="1:13" ht="16.5" thickBot="1" x14ac:dyDescent="0.3">
      <c r="A358" s="55" t="s">
        <v>849</v>
      </c>
      <c r="B358" s="74" t="s">
        <v>258</v>
      </c>
      <c r="C358" s="74" t="s">
        <v>259</v>
      </c>
      <c r="D358" s="75" t="s">
        <v>257</v>
      </c>
      <c r="E358" s="58" t="s">
        <v>260</v>
      </c>
      <c r="F358" s="59" t="s">
        <v>275</v>
      </c>
      <c r="H358" s="78" t="s">
        <v>849</v>
      </c>
      <c r="I358" s="61" t="s">
        <v>250</v>
      </c>
      <c r="J358" s="62" t="s">
        <v>248</v>
      </c>
      <c r="K358" s="62" t="s">
        <v>249</v>
      </c>
      <c r="L358" s="67" t="s">
        <v>275</v>
      </c>
      <c r="M358">
        <v>1</v>
      </c>
    </row>
    <row r="359" spans="1:13" ht="16.5" thickBot="1" x14ac:dyDescent="0.3">
      <c r="A359" s="55" t="s">
        <v>850</v>
      </c>
      <c r="B359" s="76" t="s">
        <v>264</v>
      </c>
      <c r="C359" s="76" t="s">
        <v>265</v>
      </c>
      <c r="D359" s="77" t="s">
        <v>263</v>
      </c>
      <c r="E359" s="58" t="s">
        <v>260</v>
      </c>
      <c r="F359" s="59" t="s">
        <v>261</v>
      </c>
      <c r="H359" s="78" t="s">
        <v>850</v>
      </c>
      <c r="I359" s="61" t="s">
        <v>250</v>
      </c>
      <c r="J359" s="62" t="s">
        <v>248</v>
      </c>
      <c r="K359" s="62" t="s">
        <v>249</v>
      </c>
      <c r="L359" s="63" t="s">
        <v>261</v>
      </c>
      <c r="M359">
        <v>2</v>
      </c>
    </row>
    <row r="360" spans="1:13" ht="16.5" thickBot="1" x14ac:dyDescent="0.3">
      <c r="A360" s="55" t="s">
        <v>851</v>
      </c>
      <c r="B360" s="74" t="s">
        <v>259</v>
      </c>
      <c r="C360" s="74" t="s">
        <v>257</v>
      </c>
      <c r="D360" s="75" t="s">
        <v>258</v>
      </c>
      <c r="E360" s="58" t="s">
        <v>260</v>
      </c>
      <c r="F360" s="59" t="s">
        <v>245</v>
      </c>
      <c r="H360" s="78" t="s">
        <v>851</v>
      </c>
      <c r="I360" s="79" t="s">
        <v>249</v>
      </c>
      <c r="J360" s="80" t="s">
        <v>250</v>
      </c>
      <c r="K360" s="80" t="s">
        <v>248</v>
      </c>
      <c r="L360" s="81" t="s">
        <v>245</v>
      </c>
      <c r="M360">
        <v>1</v>
      </c>
    </row>
    <row r="361" spans="1:13" ht="16.5" thickBot="1" x14ac:dyDescent="0.3">
      <c r="A361" s="55" t="s">
        <v>852</v>
      </c>
      <c r="B361" s="64" t="s">
        <v>265</v>
      </c>
      <c r="C361" s="64" t="s">
        <v>263</v>
      </c>
      <c r="D361" s="65" t="s">
        <v>264</v>
      </c>
      <c r="E361" s="58" t="s">
        <v>260</v>
      </c>
      <c r="F361" s="59" t="s">
        <v>267</v>
      </c>
      <c r="H361" s="78" t="s">
        <v>852</v>
      </c>
      <c r="I361" s="61" t="s">
        <v>249</v>
      </c>
      <c r="J361" s="62" t="s">
        <v>250</v>
      </c>
      <c r="K361" s="62" t="s">
        <v>248</v>
      </c>
      <c r="L361" s="67" t="s">
        <v>267</v>
      </c>
      <c r="M361">
        <v>2</v>
      </c>
    </row>
    <row r="362" spans="1:13" ht="16.5" thickBot="1" x14ac:dyDescent="0.3">
      <c r="A362" s="55" t="s">
        <v>853</v>
      </c>
      <c r="B362" s="74" t="s">
        <v>257</v>
      </c>
      <c r="C362" s="74" t="s">
        <v>258</v>
      </c>
      <c r="D362" s="75" t="s">
        <v>259</v>
      </c>
      <c r="E362" s="58" t="s">
        <v>260</v>
      </c>
      <c r="F362" s="59" t="s">
        <v>269</v>
      </c>
      <c r="H362" s="78" t="s">
        <v>853</v>
      </c>
      <c r="I362" s="61" t="s">
        <v>249</v>
      </c>
      <c r="J362" s="62" t="s">
        <v>250</v>
      </c>
      <c r="K362" s="62" t="s">
        <v>248</v>
      </c>
      <c r="L362" s="63" t="s">
        <v>269</v>
      </c>
      <c r="M362">
        <v>1</v>
      </c>
    </row>
    <row r="363" spans="1:13" ht="16.5" thickBot="1" x14ac:dyDescent="0.3">
      <c r="A363" s="55" t="s">
        <v>854</v>
      </c>
      <c r="B363" s="64" t="s">
        <v>263</v>
      </c>
      <c r="C363" s="64" t="s">
        <v>264</v>
      </c>
      <c r="D363" s="65" t="s">
        <v>265</v>
      </c>
      <c r="E363" s="58" t="s">
        <v>260</v>
      </c>
      <c r="F363" s="59" t="s">
        <v>271</v>
      </c>
      <c r="H363" s="78" t="s">
        <v>854</v>
      </c>
      <c r="I363" s="61" t="s">
        <v>248</v>
      </c>
      <c r="J363" s="62" t="s">
        <v>249</v>
      </c>
      <c r="K363" s="62" t="s">
        <v>250</v>
      </c>
      <c r="L363" s="67" t="s">
        <v>271</v>
      </c>
      <c r="M363">
        <v>1</v>
      </c>
    </row>
    <row r="364" spans="1:13" ht="16.5" thickBot="1" x14ac:dyDescent="0.3">
      <c r="A364" s="55" t="s">
        <v>855</v>
      </c>
      <c r="B364" s="74" t="s">
        <v>258</v>
      </c>
      <c r="C364" s="74" t="s">
        <v>259</v>
      </c>
      <c r="D364" s="75" t="s">
        <v>257</v>
      </c>
      <c r="E364" s="58" t="s">
        <v>260</v>
      </c>
      <c r="F364" s="59" t="s">
        <v>273</v>
      </c>
      <c r="H364" s="78" t="s">
        <v>855</v>
      </c>
      <c r="I364" s="61" t="s">
        <v>248</v>
      </c>
      <c r="J364" s="62" t="s">
        <v>249</v>
      </c>
      <c r="K364" s="62" t="s">
        <v>250</v>
      </c>
      <c r="L364" s="63" t="s">
        <v>273</v>
      </c>
      <c r="M364">
        <v>2</v>
      </c>
    </row>
    <row r="365" spans="1:13" ht="16.5" thickBot="1" x14ac:dyDescent="0.3">
      <c r="A365" s="55" t="s">
        <v>856</v>
      </c>
      <c r="B365" s="76" t="s">
        <v>264</v>
      </c>
      <c r="C365" s="76" t="s">
        <v>265</v>
      </c>
      <c r="D365" s="77" t="s">
        <v>263</v>
      </c>
      <c r="E365" s="58" t="s">
        <v>260</v>
      </c>
      <c r="F365" s="59" t="s">
        <v>275</v>
      </c>
      <c r="H365" s="78" t="s">
        <v>856</v>
      </c>
      <c r="I365" s="61" t="s">
        <v>250</v>
      </c>
      <c r="J365" s="62" t="s">
        <v>248</v>
      </c>
      <c r="K365" s="62" t="s">
        <v>249</v>
      </c>
      <c r="L365" s="67" t="s">
        <v>275</v>
      </c>
      <c r="M365">
        <v>1</v>
      </c>
    </row>
    <row r="366" spans="1:13" ht="16.5" thickBot="1" x14ac:dyDescent="0.3">
      <c r="A366" s="55" t="s">
        <v>857</v>
      </c>
      <c r="B366" s="74" t="s">
        <v>259</v>
      </c>
      <c r="C366" s="74" t="s">
        <v>257</v>
      </c>
      <c r="D366" s="75" t="s">
        <v>258</v>
      </c>
      <c r="E366" s="58" t="s">
        <v>260</v>
      </c>
      <c r="F366" s="59" t="s">
        <v>261</v>
      </c>
      <c r="H366" s="78" t="s">
        <v>857</v>
      </c>
      <c r="I366" s="61" t="s">
        <v>250</v>
      </c>
      <c r="J366" s="62" t="s">
        <v>248</v>
      </c>
      <c r="K366" s="62" t="s">
        <v>249</v>
      </c>
      <c r="L366" s="63" t="s">
        <v>261</v>
      </c>
      <c r="M366">
        <v>2</v>
      </c>
    </row>
    <row r="367" spans="1:13" ht="16.5" thickBot="1" x14ac:dyDescent="0.3">
      <c r="A367" s="55" t="s">
        <v>858</v>
      </c>
      <c r="B367" s="64" t="s">
        <v>265</v>
      </c>
      <c r="C367" s="64" t="s">
        <v>263</v>
      </c>
      <c r="D367" s="65" t="s">
        <v>264</v>
      </c>
      <c r="E367" s="58" t="s">
        <v>260</v>
      </c>
      <c r="F367" s="59" t="s">
        <v>245</v>
      </c>
      <c r="H367" s="78" t="s">
        <v>858</v>
      </c>
      <c r="I367" s="79" t="s">
        <v>249</v>
      </c>
      <c r="J367" s="80" t="s">
        <v>250</v>
      </c>
      <c r="K367" s="80" t="s">
        <v>248</v>
      </c>
      <c r="L367" s="81" t="s">
        <v>245</v>
      </c>
      <c r="M367">
        <v>1</v>
      </c>
    </row>
    <row r="368" spans="1:13" ht="16.5" thickBot="1" x14ac:dyDescent="0.3">
      <c r="A368" s="55" t="s">
        <v>859</v>
      </c>
      <c r="B368" s="74" t="s">
        <v>257</v>
      </c>
      <c r="C368" s="74" t="s">
        <v>258</v>
      </c>
      <c r="D368" s="75" t="s">
        <v>259</v>
      </c>
      <c r="E368" s="58" t="s">
        <v>260</v>
      </c>
      <c r="F368" s="59" t="s">
        <v>267</v>
      </c>
      <c r="H368" s="78" t="s">
        <v>859</v>
      </c>
      <c r="I368" s="61" t="s">
        <v>249</v>
      </c>
      <c r="J368" s="62" t="s">
        <v>250</v>
      </c>
      <c r="K368" s="62" t="s">
        <v>248</v>
      </c>
      <c r="L368" s="67" t="s">
        <v>267</v>
      </c>
      <c r="M368">
        <v>2</v>
      </c>
    </row>
    <row r="369" spans="1:13" ht="16.5" thickBot="1" x14ac:dyDescent="0.3">
      <c r="A369" s="55" t="s">
        <v>860</v>
      </c>
      <c r="B369" s="64" t="s">
        <v>263</v>
      </c>
      <c r="C369" s="64" t="s">
        <v>264</v>
      </c>
      <c r="D369" s="65" t="s">
        <v>265</v>
      </c>
      <c r="E369" s="58" t="s">
        <v>260</v>
      </c>
      <c r="F369" s="59" t="s">
        <v>269</v>
      </c>
      <c r="H369" s="78" t="s">
        <v>860</v>
      </c>
      <c r="I369" s="61" t="s">
        <v>249</v>
      </c>
      <c r="J369" s="62" t="s">
        <v>250</v>
      </c>
      <c r="K369" s="62" t="s">
        <v>248</v>
      </c>
      <c r="L369" s="63" t="s">
        <v>269</v>
      </c>
      <c r="M369">
        <v>1</v>
      </c>
    </row>
    <row r="370" spans="1:13" ht="16.5" thickBot="1" x14ac:dyDescent="0.3">
      <c r="A370" s="55" t="s">
        <v>861</v>
      </c>
      <c r="B370" s="74" t="s">
        <v>258</v>
      </c>
      <c r="C370" s="74" t="s">
        <v>259</v>
      </c>
      <c r="D370" s="75" t="s">
        <v>257</v>
      </c>
      <c r="E370" s="58" t="s">
        <v>260</v>
      </c>
      <c r="F370" s="59" t="s">
        <v>271</v>
      </c>
      <c r="H370" s="78" t="s">
        <v>861</v>
      </c>
      <c r="I370" s="61" t="s">
        <v>248</v>
      </c>
      <c r="J370" s="62" t="s">
        <v>249</v>
      </c>
      <c r="K370" s="62" t="s">
        <v>250</v>
      </c>
      <c r="L370" s="67" t="s">
        <v>271</v>
      </c>
      <c r="M370">
        <v>2</v>
      </c>
    </row>
    <row r="371" spans="1:13" ht="16.5" thickBot="1" x14ac:dyDescent="0.3">
      <c r="A371" s="55" t="s">
        <v>862</v>
      </c>
      <c r="B371" s="76" t="s">
        <v>264</v>
      </c>
      <c r="C371" s="76" t="s">
        <v>265</v>
      </c>
      <c r="D371" s="77" t="s">
        <v>263</v>
      </c>
      <c r="E371" s="58" t="s">
        <v>260</v>
      </c>
      <c r="F371" s="59" t="s">
        <v>273</v>
      </c>
      <c r="H371" s="78" t="s">
        <v>862</v>
      </c>
      <c r="I371" s="61" t="s">
        <v>248</v>
      </c>
      <c r="J371" s="62" t="s">
        <v>249</v>
      </c>
      <c r="K371" s="62" t="s">
        <v>250</v>
      </c>
      <c r="L371" s="63" t="s">
        <v>273</v>
      </c>
      <c r="M371">
        <v>1</v>
      </c>
    </row>
    <row r="372" spans="1:13" ht="16.5" thickBot="1" x14ac:dyDescent="0.3">
      <c r="A372" s="55" t="s">
        <v>863</v>
      </c>
      <c r="B372" s="74" t="s">
        <v>259</v>
      </c>
      <c r="C372" s="74" t="s">
        <v>257</v>
      </c>
      <c r="D372" s="75" t="s">
        <v>258</v>
      </c>
      <c r="E372" s="58" t="s">
        <v>260</v>
      </c>
      <c r="F372" s="59" t="s">
        <v>275</v>
      </c>
      <c r="H372" s="78" t="s">
        <v>863</v>
      </c>
      <c r="I372" s="61" t="s">
        <v>250</v>
      </c>
      <c r="J372" s="62" t="s">
        <v>248</v>
      </c>
      <c r="K372" s="62" t="s">
        <v>249</v>
      </c>
      <c r="L372" s="67" t="s">
        <v>275</v>
      </c>
      <c r="M372">
        <v>2</v>
      </c>
    </row>
    <row r="373" spans="1:13" ht="16.5" thickBot="1" x14ac:dyDescent="0.3">
      <c r="A373" s="55" t="s">
        <v>864</v>
      </c>
      <c r="B373" s="64" t="s">
        <v>265</v>
      </c>
      <c r="C373" s="64" t="s">
        <v>263</v>
      </c>
      <c r="D373" s="65" t="s">
        <v>264</v>
      </c>
      <c r="E373" s="58" t="s">
        <v>260</v>
      </c>
      <c r="F373" s="59" t="s">
        <v>261</v>
      </c>
      <c r="H373" s="78" t="s">
        <v>864</v>
      </c>
      <c r="I373" s="61" t="s">
        <v>249</v>
      </c>
      <c r="J373" s="62" t="s">
        <v>250</v>
      </c>
      <c r="K373" s="62" t="s">
        <v>248</v>
      </c>
      <c r="L373" s="63" t="s">
        <v>261</v>
      </c>
      <c r="M373">
        <v>1</v>
      </c>
    </row>
    <row r="374" spans="1:13" ht="16.5" thickBot="1" x14ac:dyDescent="0.3">
      <c r="A374" s="55" t="s">
        <v>865</v>
      </c>
      <c r="B374" s="74" t="s">
        <v>257</v>
      </c>
      <c r="C374" s="74" t="s">
        <v>258</v>
      </c>
      <c r="D374" s="75" t="s">
        <v>259</v>
      </c>
      <c r="E374" s="58" t="s">
        <v>260</v>
      </c>
      <c r="F374" s="59" t="s">
        <v>245</v>
      </c>
      <c r="H374" s="78" t="s">
        <v>865</v>
      </c>
      <c r="I374" s="61" t="s">
        <v>249</v>
      </c>
      <c r="J374" s="62" t="s">
        <v>250</v>
      </c>
      <c r="K374" s="62" t="s">
        <v>248</v>
      </c>
      <c r="L374" s="81" t="s">
        <v>245</v>
      </c>
      <c r="M374">
        <v>2</v>
      </c>
    </row>
    <row r="375" spans="1:13" ht="16.5" thickBot="1" x14ac:dyDescent="0.3">
      <c r="A375" s="55" t="s">
        <v>866</v>
      </c>
      <c r="B375" s="64" t="s">
        <v>263</v>
      </c>
      <c r="C375" s="64" t="s">
        <v>264</v>
      </c>
      <c r="D375" s="65" t="s">
        <v>265</v>
      </c>
      <c r="E375" s="58" t="s">
        <v>260</v>
      </c>
      <c r="F375" s="59" t="s">
        <v>267</v>
      </c>
      <c r="H375" s="78" t="s">
        <v>866</v>
      </c>
      <c r="I375" s="61" t="s">
        <v>248</v>
      </c>
      <c r="J375" s="62" t="s">
        <v>249</v>
      </c>
      <c r="K375" s="62" t="s">
        <v>250</v>
      </c>
      <c r="L375" s="67" t="s">
        <v>267</v>
      </c>
      <c r="M375">
        <v>1</v>
      </c>
    </row>
    <row r="376" spans="1:13" ht="16.5" thickBot="1" x14ac:dyDescent="0.3">
      <c r="A376" s="55" t="s">
        <v>867</v>
      </c>
      <c r="B376" s="74" t="s">
        <v>258</v>
      </c>
      <c r="C376" s="74" t="s">
        <v>259</v>
      </c>
      <c r="D376" s="75" t="s">
        <v>257</v>
      </c>
      <c r="E376" s="58" t="s">
        <v>260</v>
      </c>
      <c r="F376" s="59" t="s">
        <v>269</v>
      </c>
      <c r="H376" s="78" t="s">
        <v>867</v>
      </c>
      <c r="I376" s="61" t="s">
        <v>248</v>
      </c>
      <c r="J376" s="62" t="s">
        <v>249</v>
      </c>
      <c r="K376" s="62" t="s">
        <v>250</v>
      </c>
      <c r="L376" s="63" t="s">
        <v>269</v>
      </c>
      <c r="M376">
        <v>2</v>
      </c>
    </row>
    <row r="377" spans="1:13" ht="16.5" thickBot="1" x14ac:dyDescent="0.3">
      <c r="A377" s="55" t="s">
        <v>868</v>
      </c>
      <c r="B377" s="76" t="s">
        <v>264</v>
      </c>
      <c r="C377" s="76" t="s">
        <v>265</v>
      </c>
      <c r="D377" s="77" t="s">
        <v>263</v>
      </c>
      <c r="E377" s="58" t="s">
        <v>260</v>
      </c>
      <c r="F377" s="59" t="s">
        <v>271</v>
      </c>
      <c r="H377" s="78" t="s">
        <v>868</v>
      </c>
      <c r="I377" s="61" t="s">
        <v>250</v>
      </c>
      <c r="J377" s="62" t="s">
        <v>248</v>
      </c>
      <c r="K377" s="62" t="s">
        <v>249</v>
      </c>
      <c r="L377" s="67" t="s">
        <v>271</v>
      </c>
      <c r="M377">
        <v>1</v>
      </c>
    </row>
    <row r="378" spans="1:13" ht="16.5" thickBot="1" x14ac:dyDescent="0.3">
      <c r="A378" s="55" t="s">
        <v>869</v>
      </c>
      <c r="B378" s="74" t="s">
        <v>259</v>
      </c>
      <c r="C378" s="74" t="s">
        <v>257</v>
      </c>
      <c r="D378" s="75" t="s">
        <v>258</v>
      </c>
      <c r="E378" s="58" t="s">
        <v>260</v>
      </c>
      <c r="F378" s="59" t="s">
        <v>273</v>
      </c>
      <c r="H378" s="60" t="s">
        <v>869</v>
      </c>
      <c r="I378" s="61" t="s">
        <v>250</v>
      </c>
      <c r="J378" s="62" t="s">
        <v>248</v>
      </c>
      <c r="K378" s="62" t="s">
        <v>249</v>
      </c>
      <c r="L378" s="63" t="s">
        <v>273</v>
      </c>
      <c r="M378">
        <v>1</v>
      </c>
    </row>
    <row r="379" spans="1:13" ht="16.5" thickBot="1" x14ac:dyDescent="0.3">
      <c r="A379" s="55" t="s">
        <v>870</v>
      </c>
      <c r="B379" s="64" t="s">
        <v>265</v>
      </c>
      <c r="C379" s="64" t="s">
        <v>263</v>
      </c>
      <c r="D379" s="65" t="s">
        <v>264</v>
      </c>
      <c r="E379" s="58" t="s">
        <v>260</v>
      </c>
      <c r="F379" s="59" t="s">
        <v>275</v>
      </c>
      <c r="H379" s="60" t="s">
        <v>870</v>
      </c>
      <c r="I379" s="79" t="s">
        <v>249</v>
      </c>
      <c r="J379" s="80" t="s">
        <v>250</v>
      </c>
      <c r="K379" s="80" t="s">
        <v>248</v>
      </c>
      <c r="L379" s="67" t="s">
        <v>275</v>
      </c>
      <c r="M379">
        <v>2</v>
      </c>
    </row>
    <row r="380" spans="1:13" ht="16.5" thickBot="1" x14ac:dyDescent="0.3">
      <c r="A380" s="55" t="s">
        <v>871</v>
      </c>
      <c r="B380" s="74" t="s">
        <v>257</v>
      </c>
      <c r="C380" s="74" t="s">
        <v>258</v>
      </c>
      <c r="D380" s="75" t="s">
        <v>259</v>
      </c>
      <c r="E380" s="58" t="s">
        <v>260</v>
      </c>
      <c r="F380" s="59" t="s">
        <v>261</v>
      </c>
      <c r="H380" s="60" t="s">
        <v>871</v>
      </c>
      <c r="I380" s="61" t="s">
        <v>249</v>
      </c>
      <c r="J380" s="62" t="s">
        <v>250</v>
      </c>
      <c r="K380" s="62" t="s">
        <v>248</v>
      </c>
      <c r="L380" s="63" t="s">
        <v>261</v>
      </c>
      <c r="M380">
        <v>1</v>
      </c>
    </row>
    <row r="381" spans="1:13" ht="16.5" thickBot="1" x14ac:dyDescent="0.3">
      <c r="A381" s="55" t="s">
        <v>872</v>
      </c>
      <c r="B381" s="64" t="s">
        <v>263</v>
      </c>
      <c r="C381" s="64" t="s">
        <v>264</v>
      </c>
      <c r="D381" s="65" t="s">
        <v>265</v>
      </c>
      <c r="E381" s="58" t="s">
        <v>260</v>
      </c>
      <c r="F381" s="59" t="s">
        <v>245</v>
      </c>
      <c r="H381" s="60" t="s">
        <v>872</v>
      </c>
      <c r="I381" s="61" t="s">
        <v>249</v>
      </c>
      <c r="J381" s="62" t="s">
        <v>250</v>
      </c>
      <c r="K381" s="62" t="s">
        <v>248</v>
      </c>
      <c r="L381" s="81" t="s">
        <v>245</v>
      </c>
      <c r="M381">
        <v>2</v>
      </c>
    </row>
    <row r="382" spans="1:13" ht="16.5" thickBot="1" x14ac:dyDescent="0.3">
      <c r="A382" s="55" t="s">
        <v>873</v>
      </c>
      <c r="B382" s="74" t="s">
        <v>258</v>
      </c>
      <c r="C382" s="74" t="s">
        <v>259</v>
      </c>
      <c r="D382" s="75" t="s">
        <v>257</v>
      </c>
      <c r="E382" s="58" t="s">
        <v>260</v>
      </c>
      <c r="F382" s="59" t="s">
        <v>267</v>
      </c>
      <c r="H382" s="60" t="s">
        <v>873</v>
      </c>
      <c r="I382" s="61" t="s">
        <v>248</v>
      </c>
      <c r="J382" s="62" t="s">
        <v>249</v>
      </c>
      <c r="K382" s="62" t="s">
        <v>250</v>
      </c>
      <c r="L382" s="67" t="s">
        <v>267</v>
      </c>
      <c r="M382">
        <v>1</v>
      </c>
    </row>
    <row r="383" spans="1:13" ht="16.5" thickBot="1" x14ac:dyDescent="0.3">
      <c r="A383" s="55" t="s">
        <v>874</v>
      </c>
      <c r="B383" s="76" t="s">
        <v>264</v>
      </c>
      <c r="C383" s="76" t="s">
        <v>265</v>
      </c>
      <c r="D383" s="77" t="s">
        <v>263</v>
      </c>
      <c r="E383" s="58" t="s">
        <v>260</v>
      </c>
      <c r="F383" s="59" t="s">
        <v>269</v>
      </c>
      <c r="H383" s="60" t="s">
        <v>874</v>
      </c>
      <c r="I383" s="61" t="s">
        <v>248</v>
      </c>
      <c r="J383" s="62" t="s">
        <v>249</v>
      </c>
      <c r="K383" s="62" t="s">
        <v>250</v>
      </c>
      <c r="L383" s="63" t="s">
        <v>269</v>
      </c>
      <c r="M383">
        <v>2</v>
      </c>
    </row>
    <row r="384" spans="1:13" ht="16.5" thickBot="1" x14ac:dyDescent="0.3">
      <c r="A384" s="55" t="s">
        <v>875</v>
      </c>
      <c r="B384" s="74" t="s">
        <v>259</v>
      </c>
      <c r="C384" s="74" t="s">
        <v>257</v>
      </c>
      <c r="D384" s="75" t="s">
        <v>258</v>
      </c>
      <c r="E384" s="58" t="s">
        <v>260</v>
      </c>
      <c r="F384" s="59" t="s">
        <v>271</v>
      </c>
      <c r="H384" s="60" t="s">
        <v>875</v>
      </c>
      <c r="I384" s="61" t="s">
        <v>250</v>
      </c>
      <c r="J384" s="62" t="s">
        <v>248</v>
      </c>
      <c r="K384" s="62" t="s">
        <v>249</v>
      </c>
      <c r="L384" s="67" t="s">
        <v>271</v>
      </c>
      <c r="M384">
        <v>1</v>
      </c>
    </row>
    <row r="385" spans="1:13" ht="16.5" thickBot="1" x14ac:dyDescent="0.3">
      <c r="A385" s="55" t="s">
        <v>876</v>
      </c>
      <c r="B385" s="64" t="s">
        <v>265</v>
      </c>
      <c r="C385" s="64" t="s">
        <v>263</v>
      </c>
      <c r="D385" s="65" t="s">
        <v>264</v>
      </c>
      <c r="E385" s="58" t="s">
        <v>260</v>
      </c>
      <c r="F385" s="59" t="s">
        <v>273</v>
      </c>
      <c r="H385" s="60" t="s">
        <v>876</v>
      </c>
      <c r="I385" s="61" t="s">
        <v>250</v>
      </c>
      <c r="J385" s="62" t="s">
        <v>248</v>
      </c>
      <c r="K385" s="62" t="s">
        <v>249</v>
      </c>
      <c r="L385" s="63" t="s">
        <v>273</v>
      </c>
      <c r="M385">
        <v>2</v>
      </c>
    </row>
    <row r="386" spans="1:13" ht="16.5" thickBot="1" x14ac:dyDescent="0.3">
      <c r="A386" s="55" t="s">
        <v>877</v>
      </c>
      <c r="B386" s="74" t="s">
        <v>257</v>
      </c>
      <c r="C386" s="74" t="s">
        <v>258</v>
      </c>
      <c r="D386" s="75" t="s">
        <v>259</v>
      </c>
      <c r="E386" s="58" t="s">
        <v>260</v>
      </c>
      <c r="F386" s="59" t="s">
        <v>275</v>
      </c>
      <c r="H386" s="60" t="s">
        <v>877</v>
      </c>
      <c r="I386" s="79" t="s">
        <v>249</v>
      </c>
      <c r="J386" s="80" t="s">
        <v>250</v>
      </c>
      <c r="K386" s="80" t="s">
        <v>248</v>
      </c>
      <c r="L386" s="67" t="s">
        <v>275</v>
      </c>
      <c r="M386">
        <v>1</v>
      </c>
    </row>
    <row r="387" spans="1:13" ht="16.5" thickBot="1" x14ac:dyDescent="0.3">
      <c r="A387" s="55" t="s">
        <v>878</v>
      </c>
      <c r="B387" s="64" t="s">
        <v>263</v>
      </c>
      <c r="C387" s="64" t="s">
        <v>264</v>
      </c>
      <c r="D387" s="65" t="s">
        <v>265</v>
      </c>
      <c r="E387" s="58" t="s">
        <v>260</v>
      </c>
      <c r="F387" s="59" t="s">
        <v>261</v>
      </c>
      <c r="H387" s="60" t="s">
        <v>878</v>
      </c>
      <c r="I387" s="61" t="s">
        <v>249</v>
      </c>
      <c r="J387" s="62" t="s">
        <v>250</v>
      </c>
      <c r="K387" s="62" t="s">
        <v>248</v>
      </c>
      <c r="L387" s="63" t="s">
        <v>261</v>
      </c>
      <c r="M387">
        <v>2</v>
      </c>
    </row>
    <row r="388" spans="1:13" ht="16.5" thickBot="1" x14ac:dyDescent="0.3">
      <c r="A388" s="55" t="s">
        <v>879</v>
      </c>
      <c r="B388" s="74" t="s">
        <v>258</v>
      </c>
      <c r="C388" s="74" t="s">
        <v>259</v>
      </c>
      <c r="D388" s="75" t="s">
        <v>257</v>
      </c>
      <c r="E388" s="58" t="s">
        <v>260</v>
      </c>
      <c r="F388" s="59" t="s">
        <v>245</v>
      </c>
      <c r="H388" s="60" t="s">
        <v>879</v>
      </c>
      <c r="I388" s="61" t="s">
        <v>249</v>
      </c>
      <c r="J388" s="62" t="s">
        <v>250</v>
      </c>
      <c r="K388" s="62" t="s">
        <v>248</v>
      </c>
      <c r="L388" s="81" t="s">
        <v>245</v>
      </c>
      <c r="M388">
        <v>1</v>
      </c>
    </row>
    <row r="389" spans="1:13" ht="16.5" thickBot="1" x14ac:dyDescent="0.3">
      <c r="A389" s="55" t="s">
        <v>880</v>
      </c>
      <c r="B389" s="76" t="s">
        <v>264</v>
      </c>
      <c r="C389" s="76" t="s">
        <v>265</v>
      </c>
      <c r="D389" s="77" t="s">
        <v>263</v>
      </c>
      <c r="E389" s="58" t="s">
        <v>260</v>
      </c>
      <c r="F389" s="59" t="s">
        <v>267</v>
      </c>
      <c r="H389" s="60" t="s">
        <v>880</v>
      </c>
      <c r="I389" s="61" t="s">
        <v>248</v>
      </c>
      <c r="J389" s="62" t="s">
        <v>249</v>
      </c>
      <c r="K389" s="62" t="s">
        <v>250</v>
      </c>
      <c r="L389" s="67" t="s">
        <v>267</v>
      </c>
      <c r="M389">
        <v>2</v>
      </c>
    </row>
    <row r="390" spans="1:13" ht="16.5" thickBot="1" x14ac:dyDescent="0.3">
      <c r="A390" s="55" t="s">
        <v>881</v>
      </c>
      <c r="B390" s="74" t="s">
        <v>259</v>
      </c>
      <c r="C390" s="74" t="s">
        <v>257</v>
      </c>
      <c r="D390" s="75" t="s">
        <v>258</v>
      </c>
      <c r="E390" s="58" t="s">
        <v>260</v>
      </c>
      <c r="F390" s="59" t="s">
        <v>269</v>
      </c>
      <c r="H390" s="60" t="s">
        <v>881</v>
      </c>
      <c r="I390" s="61" t="s">
        <v>248</v>
      </c>
      <c r="J390" s="62" t="s">
        <v>249</v>
      </c>
      <c r="K390" s="62" t="s">
        <v>250</v>
      </c>
      <c r="L390" s="63" t="s">
        <v>269</v>
      </c>
      <c r="M390">
        <v>1</v>
      </c>
    </row>
    <row r="391" spans="1:13" ht="16.5" thickBot="1" x14ac:dyDescent="0.3">
      <c r="A391" s="55" t="s">
        <v>882</v>
      </c>
      <c r="B391" s="64" t="s">
        <v>265</v>
      </c>
      <c r="C391" s="64" t="s">
        <v>263</v>
      </c>
      <c r="D391" s="65" t="s">
        <v>264</v>
      </c>
      <c r="E391" s="58" t="s">
        <v>260</v>
      </c>
      <c r="F391" s="59" t="s">
        <v>271</v>
      </c>
      <c r="H391" s="60" t="s">
        <v>882</v>
      </c>
      <c r="I391" s="61" t="s">
        <v>250</v>
      </c>
      <c r="J391" s="62" t="s">
        <v>248</v>
      </c>
      <c r="K391" s="62" t="s">
        <v>249</v>
      </c>
      <c r="L391" s="67" t="s">
        <v>271</v>
      </c>
      <c r="M391">
        <v>2</v>
      </c>
    </row>
    <row r="392" spans="1:13" ht="16.5" thickBot="1" x14ac:dyDescent="0.3">
      <c r="A392" s="55" t="s">
        <v>883</v>
      </c>
      <c r="B392" s="74" t="s">
        <v>257</v>
      </c>
      <c r="C392" s="74" t="s">
        <v>258</v>
      </c>
      <c r="D392" s="75" t="s">
        <v>259</v>
      </c>
      <c r="E392" s="58" t="s">
        <v>260</v>
      </c>
      <c r="F392" s="59" t="s">
        <v>273</v>
      </c>
      <c r="H392" s="60" t="s">
        <v>883</v>
      </c>
      <c r="I392" s="61" t="s">
        <v>249</v>
      </c>
      <c r="J392" s="62" t="s">
        <v>250</v>
      </c>
      <c r="K392" s="62" t="s">
        <v>248</v>
      </c>
      <c r="L392" s="63" t="s">
        <v>273</v>
      </c>
      <c r="M392">
        <v>1</v>
      </c>
    </row>
    <row r="393" spans="1:13" ht="16.5" thickBot="1" x14ac:dyDescent="0.3">
      <c r="A393" s="55" t="s">
        <v>884</v>
      </c>
      <c r="B393" s="64" t="s">
        <v>263</v>
      </c>
      <c r="C393" s="64" t="s">
        <v>264</v>
      </c>
      <c r="D393" s="65" t="s">
        <v>265</v>
      </c>
      <c r="E393" s="58" t="s">
        <v>260</v>
      </c>
      <c r="F393" s="59" t="s">
        <v>275</v>
      </c>
      <c r="H393" s="60" t="s">
        <v>884</v>
      </c>
      <c r="I393" s="61" t="s">
        <v>249</v>
      </c>
      <c r="J393" s="62" t="s">
        <v>250</v>
      </c>
      <c r="K393" s="62" t="s">
        <v>248</v>
      </c>
      <c r="L393" s="67" t="s">
        <v>275</v>
      </c>
      <c r="M393">
        <v>1</v>
      </c>
    </row>
    <row r="394" spans="1:13" ht="16.5" thickBot="1" x14ac:dyDescent="0.3">
      <c r="A394" s="55" t="s">
        <v>885</v>
      </c>
      <c r="B394" s="74" t="s">
        <v>258</v>
      </c>
      <c r="C394" s="74" t="s">
        <v>259</v>
      </c>
      <c r="D394" s="75" t="s">
        <v>257</v>
      </c>
      <c r="E394" s="58" t="s">
        <v>260</v>
      </c>
      <c r="F394" s="59" t="s">
        <v>261</v>
      </c>
      <c r="H394" s="60" t="s">
        <v>885</v>
      </c>
      <c r="I394" s="61" t="s">
        <v>248</v>
      </c>
      <c r="J394" s="62" t="s">
        <v>249</v>
      </c>
      <c r="K394" s="62" t="s">
        <v>250</v>
      </c>
      <c r="L394" s="63" t="s">
        <v>261</v>
      </c>
      <c r="M394">
        <v>2</v>
      </c>
    </row>
    <row r="395" spans="1:13" ht="16.5" thickBot="1" x14ac:dyDescent="0.3">
      <c r="A395" s="55" t="s">
        <v>886</v>
      </c>
      <c r="B395" s="76" t="s">
        <v>264</v>
      </c>
      <c r="C395" s="76" t="s">
        <v>265</v>
      </c>
      <c r="D395" s="77" t="s">
        <v>263</v>
      </c>
      <c r="E395" s="58" t="s">
        <v>260</v>
      </c>
      <c r="F395" s="59" t="s">
        <v>245</v>
      </c>
      <c r="H395" s="60" t="s">
        <v>886</v>
      </c>
      <c r="I395" s="61" t="s">
        <v>248</v>
      </c>
      <c r="J395" s="62" t="s">
        <v>249</v>
      </c>
      <c r="K395" s="62" t="s">
        <v>250</v>
      </c>
      <c r="L395" s="81" t="s">
        <v>245</v>
      </c>
      <c r="M395">
        <v>1</v>
      </c>
    </row>
    <row r="396" spans="1:13" ht="16.5" thickBot="1" x14ac:dyDescent="0.3">
      <c r="A396" s="55" t="s">
        <v>887</v>
      </c>
      <c r="B396" s="74" t="s">
        <v>259</v>
      </c>
      <c r="C396" s="74" t="s">
        <v>257</v>
      </c>
      <c r="D396" s="75" t="s">
        <v>258</v>
      </c>
      <c r="E396" s="58" t="s">
        <v>260</v>
      </c>
      <c r="F396" s="59" t="s">
        <v>267</v>
      </c>
      <c r="H396" s="60" t="s">
        <v>887</v>
      </c>
      <c r="I396" s="61" t="s">
        <v>250</v>
      </c>
      <c r="J396" s="62" t="s">
        <v>248</v>
      </c>
      <c r="K396" s="62" t="s">
        <v>249</v>
      </c>
      <c r="L396" s="67" t="s">
        <v>267</v>
      </c>
      <c r="M396">
        <v>2</v>
      </c>
    </row>
    <row r="397" spans="1:13" ht="16.5" thickBot="1" x14ac:dyDescent="0.3">
      <c r="A397" s="55" t="s">
        <v>888</v>
      </c>
      <c r="B397" s="64" t="s">
        <v>265</v>
      </c>
      <c r="C397" s="64" t="s">
        <v>263</v>
      </c>
      <c r="D397" s="65" t="s">
        <v>264</v>
      </c>
      <c r="E397" s="58" t="s">
        <v>260</v>
      </c>
      <c r="F397" s="59" t="s">
        <v>269</v>
      </c>
      <c r="H397" s="60" t="s">
        <v>888</v>
      </c>
      <c r="I397" s="61" t="s">
        <v>250</v>
      </c>
      <c r="J397" s="62" t="s">
        <v>248</v>
      </c>
      <c r="K397" s="62" t="s">
        <v>249</v>
      </c>
      <c r="L397" s="63" t="s">
        <v>269</v>
      </c>
      <c r="M397">
        <v>1</v>
      </c>
    </row>
    <row r="398" spans="1:13" ht="16.5" thickBot="1" x14ac:dyDescent="0.3">
      <c r="A398" s="55" t="s">
        <v>889</v>
      </c>
      <c r="B398" s="74" t="s">
        <v>257</v>
      </c>
      <c r="C398" s="74" t="s">
        <v>258</v>
      </c>
      <c r="D398" s="75" t="s">
        <v>259</v>
      </c>
      <c r="E398" s="58" t="s">
        <v>260</v>
      </c>
      <c r="F398" s="59" t="s">
        <v>271</v>
      </c>
      <c r="H398" s="60" t="s">
        <v>889</v>
      </c>
      <c r="I398" s="79" t="s">
        <v>249</v>
      </c>
      <c r="J398" s="80" t="s">
        <v>250</v>
      </c>
      <c r="K398" s="80" t="s">
        <v>248</v>
      </c>
      <c r="L398" s="67" t="s">
        <v>271</v>
      </c>
      <c r="M398">
        <v>2</v>
      </c>
    </row>
    <row r="399" spans="1:13" ht="16.5" thickBot="1" x14ac:dyDescent="0.3">
      <c r="A399" s="55" t="s">
        <v>890</v>
      </c>
      <c r="B399" s="64" t="s">
        <v>263</v>
      </c>
      <c r="C399" s="64" t="s">
        <v>264</v>
      </c>
      <c r="D399" s="65" t="s">
        <v>265</v>
      </c>
      <c r="E399" s="58" t="s">
        <v>260</v>
      </c>
      <c r="F399" s="59" t="s">
        <v>273</v>
      </c>
      <c r="H399" s="60" t="s">
        <v>890</v>
      </c>
      <c r="I399" s="61" t="s">
        <v>249</v>
      </c>
      <c r="J399" s="62" t="s">
        <v>250</v>
      </c>
      <c r="K399" s="62" t="s">
        <v>248</v>
      </c>
      <c r="L399" s="63" t="s">
        <v>273</v>
      </c>
      <c r="M399">
        <v>1</v>
      </c>
    </row>
    <row r="400" spans="1:13" ht="16.5" thickBot="1" x14ac:dyDescent="0.3">
      <c r="A400" s="55" t="s">
        <v>891</v>
      </c>
      <c r="B400" s="74" t="s">
        <v>258</v>
      </c>
      <c r="C400" s="74" t="s">
        <v>259</v>
      </c>
      <c r="D400" s="75" t="s">
        <v>257</v>
      </c>
      <c r="E400" s="58" t="s">
        <v>260</v>
      </c>
      <c r="F400" s="59" t="s">
        <v>275</v>
      </c>
      <c r="H400" s="60" t="s">
        <v>891</v>
      </c>
      <c r="I400" s="61" t="s">
        <v>249</v>
      </c>
      <c r="J400" s="62" t="s">
        <v>250</v>
      </c>
      <c r="K400" s="62" t="s">
        <v>248</v>
      </c>
      <c r="L400" s="67" t="s">
        <v>275</v>
      </c>
      <c r="M400">
        <v>2</v>
      </c>
    </row>
    <row r="401" spans="1:13" ht="16.5" thickBot="1" x14ac:dyDescent="0.3">
      <c r="A401" s="55" t="s">
        <v>892</v>
      </c>
      <c r="B401" s="76" t="s">
        <v>264</v>
      </c>
      <c r="C401" s="76" t="s">
        <v>265</v>
      </c>
      <c r="D401" s="77" t="s">
        <v>263</v>
      </c>
      <c r="E401" s="58" t="s">
        <v>260</v>
      </c>
      <c r="F401" s="59" t="s">
        <v>261</v>
      </c>
      <c r="H401" s="60" t="s">
        <v>892</v>
      </c>
      <c r="I401" s="61" t="s">
        <v>248</v>
      </c>
      <c r="J401" s="62" t="s">
        <v>249</v>
      </c>
      <c r="K401" s="62" t="s">
        <v>250</v>
      </c>
      <c r="L401" s="63" t="s">
        <v>261</v>
      </c>
      <c r="M401">
        <v>1</v>
      </c>
    </row>
    <row r="402" spans="1:13" ht="16.5" thickBot="1" x14ac:dyDescent="0.3">
      <c r="A402" s="55" t="s">
        <v>893</v>
      </c>
      <c r="B402" s="74" t="s">
        <v>259</v>
      </c>
      <c r="C402" s="74" t="s">
        <v>257</v>
      </c>
      <c r="D402" s="75" t="s">
        <v>258</v>
      </c>
      <c r="E402" s="58" t="s">
        <v>260</v>
      </c>
      <c r="F402" s="59" t="s">
        <v>245</v>
      </c>
      <c r="H402" s="60" t="s">
        <v>893</v>
      </c>
      <c r="I402" s="61" t="s">
        <v>248</v>
      </c>
      <c r="J402" s="62" t="s">
        <v>249</v>
      </c>
      <c r="K402" s="62" t="s">
        <v>250</v>
      </c>
      <c r="L402" s="81" t="s">
        <v>245</v>
      </c>
      <c r="M402">
        <v>2</v>
      </c>
    </row>
    <row r="403" spans="1:13" ht="16.5" thickBot="1" x14ac:dyDescent="0.3">
      <c r="A403" s="55" t="s">
        <v>894</v>
      </c>
      <c r="B403" s="64" t="s">
        <v>265</v>
      </c>
      <c r="C403" s="64" t="s">
        <v>263</v>
      </c>
      <c r="D403" s="65" t="s">
        <v>264</v>
      </c>
      <c r="E403" s="58" t="s">
        <v>260</v>
      </c>
      <c r="F403" s="59" t="s">
        <v>267</v>
      </c>
      <c r="H403" s="60" t="s">
        <v>894</v>
      </c>
      <c r="I403" s="61" t="s">
        <v>250</v>
      </c>
      <c r="J403" s="62" t="s">
        <v>248</v>
      </c>
      <c r="K403" s="62" t="s">
        <v>249</v>
      </c>
      <c r="L403" s="67" t="s">
        <v>267</v>
      </c>
      <c r="M403">
        <v>1</v>
      </c>
    </row>
    <row r="404" spans="1:13" ht="16.5" thickBot="1" x14ac:dyDescent="0.3">
      <c r="A404" s="55" t="s">
        <v>895</v>
      </c>
      <c r="B404" s="74" t="s">
        <v>257</v>
      </c>
      <c r="C404" s="74" t="s">
        <v>258</v>
      </c>
      <c r="D404" s="75" t="s">
        <v>259</v>
      </c>
      <c r="E404" s="58" t="s">
        <v>260</v>
      </c>
      <c r="F404" s="59" t="s">
        <v>269</v>
      </c>
      <c r="H404" s="60" t="s">
        <v>895</v>
      </c>
      <c r="I404" s="61" t="s">
        <v>250</v>
      </c>
      <c r="J404" s="62" t="s">
        <v>248</v>
      </c>
      <c r="K404" s="62" t="s">
        <v>249</v>
      </c>
      <c r="L404" s="63" t="s">
        <v>269</v>
      </c>
      <c r="M404">
        <v>2</v>
      </c>
    </row>
    <row r="405" spans="1:13" ht="16.5" thickBot="1" x14ac:dyDescent="0.3">
      <c r="A405" s="55" t="s">
        <v>896</v>
      </c>
      <c r="B405" s="64" t="s">
        <v>263</v>
      </c>
      <c r="C405" s="64" t="s">
        <v>264</v>
      </c>
      <c r="D405" s="65" t="s">
        <v>265</v>
      </c>
      <c r="E405" s="58" t="s">
        <v>260</v>
      </c>
      <c r="F405" s="59" t="s">
        <v>271</v>
      </c>
      <c r="H405" s="60" t="s">
        <v>896</v>
      </c>
      <c r="I405" s="79" t="s">
        <v>249</v>
      </c>
      <c r="J405" s="80" t="s">
        <v>250</v>
      </c>
      <c r="K405" s="80" t="s">
        <v>248</v>
      </c>
      <c r="L405" s="67" t="s">
        <v>271</v>
      </c>
      <c r="M405">
        <v>1</v>
      </c>
    </row>
    <row r="406" spans="1:13" ht="16.5" thickBot="1" x14ac:dyDescent="0.3">
      <c r="A406" s="55" t="s">
        <v>897</v>
      </c>
      <c r="B406" s="74" t="s">
        <v>258</v>
      </c>
      <c r="C406" s="74" t="s">
        <v>259</v>
      </c>
      <c r="D406" s="75" t="s">
        <v>257</v>
      </c>
      <c r="E406" s="58" t="s">
        <v>260</v>
      </c>
      <c r="F406" s="59" t="s">
        <v>273</v>
      </c>
      <c r="H406" s="60" t="s">
        <v>897</v>
      </c>
      <c r="I406" s="61" t="s">
        <v>249</v>
      </c>
      <c r="J406" s="62" t="s">
        <v>250</v>
      </c>
      <c r="K406" s="62" t="s">
        <v>248</v>
      </c>
      <c r="L406" s="63" t="s">
        <v>273</v>
      </c>
      <c r="M406">
        <v>2</v>
      </c>
    </row>
    <row r="407" spans="1:13" ht="16.5" thickBot="1" x14ac:dyDescent="0.3">
      <c r="A407" s="55" t="s">
        <v>898</v>
      </c>
      <c r="B407" s="76" t="s">
        <v>264</v>
      </c>
      <c r="C407" s="76" t="s">
        <v>265</v>
      </c>
      <c r="D407" s="77" t="s">
        <v>263</v>
      </c>
      <c r="E407" s="58" t="s">
        <v>260</v>
      </c>
      <c r="F407" s="59" t="s">
        <v>275</v>
      </c>
      <c r="H407" s="60" t="s">
        <v>898</v>
      </c>
      <c r="I407" s="61" t="s">
        <v>249</v>
      </c>
      <c r="J407" s="62" t="s">
        <v>250</v>
      </c>
      <c r="K407" s="62" t="s">
        <v>248</v>
      </c>
      <c r="L407" s="67" t="s">
        <v>275</v>
      </c>
      <c r="M407">
        <v>1</v>
      </c>
    </row>
    <row r="408" spans="1:13" ht="16.5" thickBot="1" x14ac:dyDescent="0.3">
      <c r="A408" s="55" t="s">
        <v>899</v>
      </c>
      <c r="B408" s="74" t="s">
        <v>259</v>
      </c>
      <c r="C408" s="74" t="s">
        <v>257</v>
      </c>
      <c r="D408" s="75" t="s">
        <v>258</v>
      </c>
      <c r="E408" s="58" t="s">
        <v>260</v>
      </c>
      <c r="F408" s="59" t="s">
        <v>261</v>
      </c>
      <c r="H408" s="60" t="s">
        <v>899</v>
      </c>
      <c r="I408" s="61" t="s">
        <v>248</v>
      </c>
      <c r="J408" s="62" t="s">
        <v>249</v>
      </c>
      <c r="K408" s="62" t="s">
        <v>250</v>
      </c>
      <c r="L408" s="63" t="s">
        <v>261</v>
      </c>
      <c r="M408">
        <v>1</v>
      </c>
    </row>
    <row r="409" spans="1:13" ht="16.5" thickBot="1" x14ac:dyDescent="0.3">
      <c r="A409" s="55" t="s">
        <v>900</v>
      </c>
      <c r="B409" s="64" t="s">
        <v>265</v>
      </c>
      <c r="C409" s="64" t="s">
        <v>263</v>
      </c>
      <c r="D409" s="65" t="s">
        <v>264</v>
      </c>
      <c r="E409" s="58" t="s">
        <v>260</v>
      </c>
      <c r="F409" s="59" t="s">
        <v>245</v>
      </c>
      <c r="H409" s="60" t="s">
        <v>900</v>
      </c>
      <c r="I409" s="61" t="s">
        <v>248</v>
      </c>
      <c r="J409" s="62" t="s">
        <v>249</v>
      </c>
      <c r="K409" s="62" t="s">
        <v>250</v>
      </c>
      <c r="L409" s="81" t="s">
        <v>245</v>
      </c>
      <c r="M409">
        <v>2</v>
      </c>
    </row>
    <row r="410" spans="1:13" ht="16.5" thickBot="1" x14ac:dyDescent="0.3">
      <c r="A410" s="55" t="s">
        <v>901</v>
      </c>
      <c r="B410" s="74" t="s">
        <v>257</v>
      </c>
      <c r="C410" s="74" t="s">
        <v>258</v>
      </c>
      <c r="D410" s="75" t="s">
        <v>259</v>
      </c>
      <c r="E410" s="58" t="s">
        <v>260</v>
      </c>
      <c r="F410" s="59" t="s">
        <v>267</v>
      </c>
      <c r="H410" s="60" t="s">
        <v>901</v>
      </c>
      <c r="I410" s="61" t="s">
        <v>250</v>
      </c>
      <c r="J410" s="62" t="s">
        <v>248</v>
      </c>
      <c r="K410" s="62" t="s">
        <v>249</v>
      </c>
      <c r="L410" s="67" t="s">
        <v>267</v>
      </c>
      <c r="M410">
        <v>1</v>
      </c>
    </row>
    <row r="411" spans="1:13" ht="16.5" thickBot="1" x14ac:dyDescent="0.3">
      <c r="A411" s="55" t="s">
        <v>902</v>
      </c>
      <c r="B411" s="64" t="s">
        <v>263</v>
      </c>
      <c r="C411" s="64" t="s">
        <v>264</v>
      </c>
      <c r="D411" s="65" t="s">
        <v>265</v>
      </c>
      <c r="E411" s="58" t="s">
        <v>260</v>
      </c>
      <c r="F411" s="59" t="s">
        <v>269</v>
      </c>
      <c r="H411" s="60" t="s">
        <v>902</v>
      </c>
      <c r="I411" s="61" t="s">
        <v>249</v>
      </c>
      <c r="J411" s="62" t="s">
        <v>250</v>
      </c>
      <c r="K411" s="62" t="s">
        <v>248</v>
      </c>
      <c r="L411" s="63" t="s">
        <v>269</v>
      </c>
      <c r="M411">
        <v>2</v>
      </c>
    </row>
    <row r="412" spans="1:13" ht="16.5" thickBot="1" x14ac:dyDescent="0.3">
      <c r="A412" s="55" t="s">
        <v>903</v>
      </c>
      <c r="B412" s="74" t="s">
        <v>258</v>
      </c>
      <c r="C412" s="74" t="s">
        <v>259</v>
      </c>
      <c r="D412" s="75" t="s">
        <v>257</v>
      </c>
      <c r="E412" s="58" t="s">
        <v>260</v>
      </c>
      <c r="F412" s="59" t="s">
        <v>271</v>
      </c>
      <c r="H412" s="60" t="s">
        <v>903</v>
      </c>
      <c r="I412" s="61" t="s">
        <v>249</v>
      </c>
      <c r="J412" s="62" t="s">
        <v>250</v>
      </c>
      <c r="K412" s="62" t="s">
        <v>248</v>
      </c>
      <c r="L412" s="67" t="s">
        <v>271</v>
      </c>
      <c r="M412">
        <v>1</v>
      </c>
    </row>
    <row r="413" spans="1:13" ht="16.5" thickBot="1" x14ac:dyDescent="0.3">
      <c r="A413" s="55" t="s">
        <v>904</v>
      </c>
      <c r="B413" s="76" t="s">
        <v>264</v>
      </c>
      <c r="C413" s="76" t="s">
        <v>265</v>
      </c>
      <c r="D413" s="77" t="s">
        <v>263</v>
      </c>
      <c r="E413" s="58" t="s">
        <v>260</v>
      </c>
      <c r="F413" s="59" t="s">
        <v>273</v>
      </c>
      <c r="H413" s="60" t="s">
        <v>904</v>
      </c>
      <c r="I413" s="61" t="s">
        <v>248</v>
      </c>
      <c r="J413" s="62" t="s">
        <v>249</v>
      </c>
      <c r="K413" s="62" t="s">
        <v>250</v>
      </c>
      <c r="L413" s="63" t="s">
        <v>273</v>
      </c>
      <c r="M413">
        <v>2</v>
      </c>
    </row>
    <row r="414" spans="1:13" ht="16.5" thickBot="1" x14ac:dyDescent="0.3">
      <c r="A414" s="55" t="s">
        <v>905</v>
      </c>
      <c r="B414" s="74" t="s">
        <v>259</v>
      </c>
      <c r="C414" s="74" t="s">
        <v>257</v>
      </c>
      <c r="D414" s="75" t="s">
        <v>258</v>
      </c>
      <c r="E414" s="58" t="s">
        <v>260</v>
      </c>
      <c r="F414" s="59" t="s">
        <v>275</v>
      </c>
      <c r="H414" s="60" t="s">
        <v>905</v>
      </c>
      <c r="I414" s="61" t="s">
        <v>248</v>
      </c>
      <c r="J414" s="62" t="s">
        <v>249</v>
      </c>
      <c r="K414" s="62" t="s">
        <v>250</v>
      </c>
      <c r="L414" s="67" t="s">
        <v>275</v>
      </c>
      <c r="M414">
        <v>1</v>
      </c>
    </row>
    <row r="415" spans="1:13" ht="16.5" thickBot="1" x14ac:dyDescent="0.3">
      <c r="A415" s="55" t="s">
        <v>906</v>
      </c>
      <c r="B415" s="64" t="s">
        <v>265</v>
      </c>
      <c r="C415" s="64" t="s">
        <v>263</v>
      </c>
      <c r="D415" s="65" t="s">
        <v>264</v>
      </c>
      <c r="E415" s="58" t="s">
        <v>260</v>
      </c>
      <c r="F415" s="59" t="s">
        <v>261</v>
      </c>
      <c r="H415" s="60" t="s">
        <v>906</v>
      </c>
      <c r="I415" s="61" t="s">
        <v>250</v>
      </c>
      <c r="J415" s="62" t="s">
        <v>248</v>
      </c>
      <c r="K415" s="62" t="s">
        <v>249</v>
      </c>
      <c r="L415" s="63" t="s">
        <v>261</v>
      </c>
      <c r="M415">
        <v>2</v>
      </c>
    </row>
    <row r="416" spans="1:13" ht="16.5" thickBot="1" x14ac:dyDescent="0.3">
      <c r="A416" s="55" t="s">
        <v>907</v>
      </c>
      <c r="B416" s="74" t="s">
        <v>257</v>
      </c>
      <c r="C416" s="74" t="s">
        <v>258</v>
      </c>
      <c r="D416" s="75" t="s">
        <v>259</v>
      </c>
      <c r="E416" s="58" t="s">
        <v>260</v>
      </c>
      <c r="F416" s="59" t="s">
        <v>245</v>
      </c>
      <c r="H416" s="60" t="s">
        <v>907</v>
      </c>
      <c r="I416" s="61" t="s">
        <v>250</v>
      </c>
      <c r="J416" s="62" t="s">
        <v>248</v>
      </c>
      <c r="K416" s="62" t="s">
        <v>249</v>
      </c>
      <c r="L416" s="81" t="s">
        <v>245</v>
      </c>
      <c r="M416">
        <v>1</v>
      </c>
    </row>
    <row r="417" spans="1:13" ht="16.5" thickBot="1" x14ac:dyDescent="0.3">
      <c r="A417" s="55" t="s">
        <v>908</v>
      </c>
      <c r="B417" s="64" t="s">
        <v>263</v>
      </c>
      <c r="C417" s="64" t="s">
        <v>264</v>
      </c>
      <c r="D417" s="65" t="s">
        <v>265</v>
      </c>
      <c r="E417" s="58" t="s">
        <v>260</v>
      </c>
      <c r="F417" s="59" t="s">
        <v>267</v>
      </c>
      <c r="H417" s="60" t="s">
        <v>908</v>
      </c>
      <c r="I417" s="79" t="s">
        <v>249</v>
      </c>
      <c r="J417" s="80" t="s">
        <v>250</v>
      </c>
      <c r="K417" s="80" t="s">
        <v>248</v>
      </c>
      <c r="L417" s="67" t="s">
        <v>267</v>
      </c>
      <c r="M417">
        <v>2</v>
      </c>
    </row>
    <row r="418" spans="1:13" ht="16.5" thickBot="1" x14ac:dyDescent="0.3">
      <c r="A418" s="55" t="s">
        <v>909</v>
      </c>
      <c r="B418" s="74" t="s">
        <v>258</v>
      </c>
      <c r="C418" s="74" t="s">
        <v>259</v>
      </c>
      <c r="D418" s="75" t="s">
        <v>257</v>
      </c>
      <c r="E418" s="58" t="s">
        <v>260</v>
      </c>
      <c r="F418" s="59" t="s">
        <v>269</v>
      </c>
      <c r="H418" s="60" t="s">
        <v>909</v>
      </c>
      <c r="I418" s="61" t="s">
        <v>249</v>
      </c>
      <c r="J418" s="62" t="s">
        <v>250</v>
      </c>
      <c r="K418" s="62" t="s">
        <v>248</v>
      </c>
      <c r="L418" s="63" t="s">
        <v>269</v>
      </c>
      <c r="M418">
        <v>1</v>
      </c>
    </row>
    <row r="419" spans="1:13" ht="16.5" thickBot="1" x14ac:dyDescent="0.3">
      <c r="A419" s="55" t="s">
        <v>910</v>
      </c>
      <c r="B419" s="76" t="s">
        <v>264</v>
      </c>
      <c r="C419" s="76" t="s">
        <v>265</v>
      </c>
      <c r="D419" s="77" t="s">
        <v>263</v>
      </c>
      <c r="E419" s="58" t="s">
        <v>260</v>
      </c>
      <c r="F419" s="59" t="s">
        <v>271</v>
      </c>
      <c r="H419" s="60" t="s">
        <v>910</v>
      </c>
      <c r="I419" s="61" t="s">
        <v>249</v>
      </c>
      <c r="J419" s="62" t="s">
        <v>250</v>
      </c>
      <c r="K419" s="62" t="s">
        <v>248</v>
      </c>
      <c r="L419" s="67" t="s">
        <v>271</v>
      </c>
      <c r="M419">
        <v>2</v>
      </c>
    </row>
    <row r="420" spans="1:13" ht="16.5" thickBot="1" x14ac:dyDescent="0.3">
      <c r="A420" s="55" t="s">
        <v>911</v>
      </c>
      <c r="B420" s="74" t="s">
        <v>259</v>
      </c>
      <c r="C420" s="74" t="s">
        <v>257</v>
      </c>
      <c r="D420" s="75" t="s">
        <v>258</v>
      </c>
      <c r="E420" s="58" t="s">
        <v>260</v>
      </c>
      <c r="F420" s="59" t="s">
        <v>273</v>
      </c>
      <c r="H420" s="60" t="s">
        <v>911</v>
      </c>
      <c r="I420" s="61" t="s">
        <v>248</v>
      </c>
      <c r="J420" s="62" t="s">
        <v>249</v>
      </c>
      <c r="K420" s="62" t="s">
        <v>250</v>
      </c>
      <c r="L420" s="63" t="s">
        <v>273</v>
      </c>
      <c r="M420">
        <v>1</v>
      </c>
    </row>
    <row r="421" spans="1:13" ht="16.5" thickBot="1" x14ac:dyDescent="0.3">
      <c r="A421" s="55" t="s">
        <v>912</v>
      </c>
      <c r="B421" s="64" t="s">
        <v>265</v>
      </c>
      <c r="C421" s="64" t="s">
        <v>263</v>
      </c>
      <c r="D421" s="65" t="s">
        <v>264</v>
      </c>
      <c r="E421" s="58" t="s">
        <v>260</v>
      </c>
      <c r="F421" s="59" t="s">
        <v>275</v>
      </c>
      <c r="H421" s="60" t="s">
        <v>912</v>
      </c>
      <c r="I421" s="61" t="s">
        <v>248</v>
      </c>
      <c r="J421" s="62" t="s">
        <v>249</v>
      </c>
      <c r="K421" s="62" t="s">
        <v>250</v>
      </c>
      <c r="L421" s="67" t="s">
        <v>275</v>
      </c>
      <c r="M421">
        <v>2</v>
      </c>
    </row>
    <row r="422" spans="1:13" ht="16.5" thickBot="1" x14ac:dyDescent="0.3">
      <c r="A422" s="55" t="s">
        <v>913</v>
      </c>
      <c r="B422" s="74" t="s">
        <v>257</v>
      </c>
      <c r="C422" s="74" t="s">
        <v>258</v>
      </c>
      <c r="D422" s="75" t="s">
        <v>259</v>
      </c>
      <c r="E422" s="58" t="s">
        <v>260</v>
      </c>
      <c r="F422" s="59" t="s">
        <v>261</v>
      </c>
      <c r="H422" s="60" t="s">
        <v>913</v>
      </c>
      <c r="I422" s="61" t="s">
        <v>250</v>
      </c>
      <c r="J422" s="62" t="s">
        <v>248</v>
      </c>
      <c r="K422" s="62" t="s">
        <v>249</v>
      </c>
      <c r="L422" s="63" t="s">
        <v>261</v>
      </c>
      <c r="M422">
        <v>1</v>
      </c>
    </row>
    <row r="423" spans="1:13" ht="16.5" thickBot="1" x14ac:dyDescent="0.3">
      <c r="A423" s="55" t="s">
        <v>914</v>
      </c>
      <c r="B423" s="64" t="s">
        <v>263</v>
      </c>
      <c r="C423" s="64" t="s">
        <v>264</v>
      </c>
      <c r="D423" s="65" t="s">
        <v>265</v>
      </c>
      <c r="E423" s="58" t="s">
        <v>260</v>
      </c>
      <c r="F423" s="59" t="s">
        <v>245</v>
      </c>
      <c r="H423" s="60" t="s">
        <v>914</v>
      </c>
      <c r="I423" s="61" t="s">
        <v>250</v>
      </c>
      <c r="J423" s="62" t="s">
        <v>248</v>
      </c>
      <c r="K423" s="62" t="s">
        <v>249</v>
      </c>
      <c r="L423" s="81" t="s">
        <v>245</v>
      </c>
      <c r="M423">
        <v>1</v>
      </c>
    </row>
    <row r="424" spans="1:13" ht="16.5" thickBot="1" x14ac:dyDescent="0.3">
      <c r="A424" s="55" t="s">
        <v>915</v>
      </c>
      <c r="B424" s="74" t="s">
        <v>258</v>
      </c>
      <c r="C424" s="74" t="s">
        <v>259</v>
      </c>
      <c r="D424" s="75" t="s">
        <v>257</v>
      </c>
      <c r="E424" s="58" t="s">
        <v>260</v>
      </c>
      <c r="F424" s="59" t="s">
        <v>267</v>
      </c>
      <c r="H424" s="60" t="s">
        <v>915</v>
      </c>
      <c r="I424" s="79" t="s">
        <v>249</v>
      </c>
      <c r="J424" s="80" t="s">
        <v>250</v>
      </c>
      <c r="K424" s="80" t="s">
        <v>248</v>
      </c>
      <c r="L424" s="67" t="s">
        <v>267</v>
      </c>
      <c r="M424">
        <v>2</v>
      </c>
    </row>
    <row r="425" spans="1:13" ht="16.5" thickBot="1" x14ac:dyDescent="0.3">
      <c r="A425" s="55" t="s">
        <v>916</v>
      </c>
      <c r="B425" s="76" t="s">
        <v>264</v>
      </c>
      <c r="C425" s="76" t="s">
        <v>265</v>
      </c>
      <c r="D425" s="77" t="s">
        <v>263</v>
      </c>
      <c r="E425" s="58" t="s">
        <v>260</v>
      </c>
      <c r="F425" s="59" t="s">
        <v>269</v>
      </c>
      <c r="H425" s="60" t="s">
        <v>916</v>
      </c>
      <c r="I425" s="61" t="s">
        <v>249</v>
      </c>
      <c r="J425" s="62" t="s">
        <v>250</v>
      </c>
      <c r="K425" s="62" t="s">
        <v>248</v>
      </c>
      <c r="L425" s="63" t="s">
        <v>269</v>
      </c>
      <c r="M425">
        <v>1</v>
      </c>
    </row>
    <row r="426" spans="1:13" ht="16.5" thickBot="1" x14ac:dyDescent="0.3">
      <c r="A426" s="55" t="s">
        <v>917</v>
      </c>
      <c r="B426" s="74" t="s">
        <v>259</v>
      </c>
      <c r="C426" s="74" t="s">
        <v>257</v>
      </c>
      <c r="D426" s="75" t="s">
        <v>258</v>
      </c>
      <c r="E426" s="58" t="s">
        <v>260</v>
      </c>
      <c r="F426" s="59" t="s">
        <v>271</v>
      </c>
      <c r="H426" s="60" t="s">
        <v>917</v>
      </c>
      <c r="I426" s="61" t="s">
        <v>249</v>
      </c>
      <c r="J426" s="62" t="s">
        <v>250</v>
      </c>
      <c r="K426" s="62" t="s">
        <v>248</v>
      </c>
      <c r="L426" s="67" t="s">
        <v>271</v>
      </c>
      <c r="M426">
        <v>2</v>
      </c>
    </row>
    <row r="427" spans="1:13" ht="16.5" thickBot="1" x14ac:dyDescent="0.3">
      <c r="A427" s="55" t="s">
        <v>918</v>
      </c>
      <c r="B427" s="64" t="s">
        <v>265</v>
      </c>
      <c r="C427" s="64" t="s">
        <v>263</v>
      </c>
      <c r="D427" s="65" t="s">
        <v>264</v>
      </c>
      <c r="E427" s="58" t="s">
        <v>260</v>
      </c>
      <c r="F427" s="59" t="s">
        <v>273</v>
      </c>
      <c r="H427" s="60" t="s">
        <v>918</v>
      </c>
      <c r="I427" s="61" t="s">
        <v>248</v>
      </c>
      <c r="J427" s="62" t="s">
        <v>249</v>
      </c>
      <c r="K427" s="62" t="s">
        <v>250</v>
      </c>
      <c r="L427" s="63" t="s">
        <v>273</v>
      </c>
      <c r="M427">
        <v>1</v>
      </c>
    </row>
    <row r="428" spans="1:13" ht="16.5" thickBot="1" x14ac:dyDescent="0.3">
      <c r="A428" s="55" t="s">
        <v>919</v>
      </c>
      <c r="B428" s="74" t="s">
        <v>257</v>
      </c>
      <c r="C428" s="74" t="s">
        <v>258</v>
      </c>
      <c r="D428" s="75" t="s">
        <v>259</v>
      </c>
      <c r="E428" s="58" t="s">
        <v>260</v>
      </c>
      <c r="F428" s="59" t="s">
        <v>275</v>
      </c>
      <c r="H428" s="60" t="s">
        <v>919</v>
      </c>
      <c r="I428" s="61" t="s">
        <v>248</v>
      </c>
      <c r="J428" s="62" t="s">
        <v>249</v>
      </c>
      <c r="K428" s="62" t="s">
        <v>250</v>
      </c>
      <c r="L428" s="67" t="s">
        <v>275</v>
      </c>
      <c r="M428">
        <v>2</v>
      </c>
    </row>
    <row r="429" spans="1:13" ht="16.5" thickBot="1" x14ac:dyDescent="0.3">
      <c r="A429" s="55" t="s">
        <v>920</v>
      </c>
      <c r="B429" s="64" t="s">
        <v>263</v>
      </c>
      <c r="C429" s="64" t="s">
        <v>264</v>
      </c>
      <c r="D429" s="65" t="s">
        <v>265</v>
      </c>
      <c r="E429" s="58" t="s">
        <v>260</v>
      </c>
      <c r="F429" s="59" t="s">
        <v>261</v>
      </c>
      <c r="H429" s="60" t="s">
        <v>920</v>
      </c>
      <c r="I429" s="61" t="s">
        <v>250</v>
      </c>
      <c r="J429" s="62" t="s">
        <v>248</v>
      </c>
      <c r="K429" s="62" t="s">
        <v>249</v>
      </c>
      <c r="L429" s="63" t="s">
        <v>261</v>
      </c>
      <c r="M429">
        <v>1</v>
      </c>
    </row>
    <row r="430" spans="1:13" ht="16.5" thickBot="1" x14ac:dyDescent="0.3">
      <c r="A430" s="55" t="s">
        <v>921</v>
      </c>
      <c r="B430" s="74" t="s">
        <v>258</v>
      </c>
      <c r="C430" s="74" t="s">
        <v>259</v>
      </c>
      <c r="D430" s="75" t="s">
        <v>257</v>
      </c>
      <c r="E430" s="58" t="s">
        <v>260</v>
      </c>
      <c r="F430" s="59" t="s">
        <v>245</v>
      </c>
      <c r="H430" s="60" t="s">
        <v>921</v>
      </c>
      <c r="I430" s="61" t="s">
        <v>250</v>
      </c>
      <c r="J430" s="62" t="s">
        <v>248</v>
      </c>
      <c r="K430" s="62" t="s">
        <v>249</v>
      </c>
      <c r="L430" s="81" t="s">
        <v>245</v>
      </c>
      <c r="M430">
        <v>2</v>
      </c>
    </row>
    <row r="431" spans="1:13" ht="16.5" thickBot="1" x14ac:dyDescent="0.3">
      <c r="A431" s="55" t="s">
        <v>922</v>
      </c>
      <c r="B431" s="76" t="s">
        <v>264</v>
      </c>
      <c r="C431" s="76" t="s">
        <v>265</v>
      </c>
      <c r="D431" s="77" t="s">
        <v>263</v>
      </c>
      <c r="E431" s="58" t="s">
        <v>260</v>
      </c>
      <c r="F431" s="59" t="s">
        <v>267</v>
      </c>
      <c r="H431" s="60" t="s">
        <v>922</v>
      </c>
      <c r="I431" s="79" t="s">
        <v>249</v>
      </c>
      <c r="J431" s="80" t="s">
        <v>250</v>
      </c>
      <c r="K431" s="80" t="s">
        <v>248</v>
      </c>
      <c r="L431" s="67" t="s">
        <v>267</v>
      </c>
      <c r="M431">
        <v>1</v>
      </c>
    </row>
    <row r="432" spans="1:13" ht="16.5" thickBot="1" x14ac:dyDescent="0.3">
      <c r="A432" s="55" t="s">
        <v>923</v>
      </c>
      <c r="B432" s="74" t="s">
        <v>259</v>
      </c>
      <c r="C432" s="74" t="s">
        <v>257</v>
      </c>
      <c r="D432" s="75" t="s">
        <v>258</v>
      </c>
      <c r="E432" s="58" t="s">
        <v>260</v>
      </c>
      <c r="F432" s="59" t="s">
        <v>269</v>
      </c>
      <c r="H432" s="60" t="s">
        <v>923</v>
      </c>
      <c r="I432" s="61" t="s">
        <v>249</v>
      </c>
      <c r="J432" s="62" t="s">
        <v>250</v>
      </c>
      <c r="K432" s="62" t="s">
        <v>248</v>
      </c>
      <c r="L432" s="63" t="s">
        <v>269</v>
      </c>
      <c r="M432">
        <v>2</v>
      </c>
    </row>
    <row r="433" spans="1:13" ht="16.5" thickBot="1" x14ac:dyDescent="0.3">
      <c r="A433" s="55" t="s">
        <v>924</v>
      </c>
      <c r="B433" s="64" t="s">
        <v>265</v>
      </c>
      <c r="C433" s="64" t="s">
        <v>263</v>
      </c>
      <c r="D433" s="65" t="s">
        <v>264</v>
      </c>
      <c r="E433" s="58" t="s">
        <v>260</v>
      </c>
      <c r="F433" s="59" t="s">
        <v>271</v>
      </c>
      <c r="H433" s="60" t="s">
        <v>924</v>
      </c>
      <c r="I433" s="61" t="s">
        <v>248</v>
      </c>
      <c r="J433" s="62" t="s">
        <v>249</v>
      </c>
      <c r="K433" s="62" t="s">
        <v>250</v>
      </c>
      <c r="L433" s="63" t="s">
        <v>1370</v>
      </c>
      <c r="M433">
        <v>1</v>
      </c>
    </row>
    <row r="434" spans="1:13" ht="16.5" thickBot="1" x14ac:dyDescent="0.3">
      <c r="A434" s="55" t="s">
        <v>925</v>
      </c>
      <c r="B434" s="74" t="s">
        <v>257</v>
      </c>
      <c r="C434" s="74" t="s">
        <v>258</v>
      </c>
      <c r="D434" s="75" t="s">
        <v>259</v>
      </c>
      <c r="E434" s="58" t="s">
        <v>260</v>
      </c>
      <c r="F434" s="59" t="s">
        <v>273</v>
      </c>
      <c r="H434" s="60" t="s">
        <v>925</v>
      </c>
      <c r="I434" s="61" t="s">
        <v>248</v>
      </c>
      <c r="J434" s="62" t="s">
        <v>249</v>
      </c>
      <c r="K434" s="62" t="s">
        <v>250</v>
      </c>
      <c r="L434" s="67" t="s">
        <v>273</v>
      </c>
      <c r="M434">
        <v>2</v>
      </c>
    </row>
    <row r="435" spans="1:13" ht="16.5" thickBot="1" x14ac:dyDescent="0.3">
      <c r="A435" s="55" t="s">
        <v>926</v>
      </c>
      <c r="B435" s="64" t="s">
        <v>263</v>
      </c>
      <c r="C435" s="64" t="s">
        <v>264</v>
      </c>
      <c r="D435" s="65" t="s">
        <v>265</v>
      </c>
      <c r="E435" s="58" t="s">
        <v>260</v>
      </c>
      <c r="F435" s="59" t="s">
        <v>275</v>
      </c>
      <c r="H435" s="60" t="s">
        <v>926</v>
      </c>
      <c r="I435" s="61" t="s">
        <v>250</v>
      </c>
      <c r="J435" s="62" t="s">
        <v>248</v>
      </c>
      <c r="K435" s="62" t="s">
        <v>249</v>
      </c>
      <c r="L435" s="63" t="s">
        <v>1371</v>
      </c>
      <c r="M435">
        <v>1</v>
      </c>
    </row>
    <row r="436" spans="1:13" ht="16.5" thickBot="1" x14ac:dyDescent="0.3">
      <c r="A436" s="55" t="s">
        <v>927</v>
      </c>
      <c r="B436" s="74" t="s">
        <v>258</v>
      </c>
      <c r="C436" s="74" t="s">
        <v>259</v>
      </c>
      <c r="D436" s="75" t="s">
        <v>257</v>
      </c>
      <c r="E436" s="58" t="s">
        <v>260</v>
      </c>
      <c r="F436" s="59" t="s">
        <v>261</v>
      </c>
      <c r="H436" s="60" t="s">
        <v>927</v>
      </c>
      <c r="I436" s="61" t="s">
        <v>250</v>
      </c>
      <c r="J436" s="62" t="s">
        <v>248</v>
      </c>
      <c r="K436" s="62" t="s">
        <v>249</v>
      </c>
      <c r="L436" s="81" t="s">
        <v>261</v>
      </c>
      <c r="M436">
        <v>2</v>
      </c>
    </row>
    <row r="437" spans="1:13" ht="16.5" thickBot="1" x14ac:dyDescent="0.3">
      <c r="A437" s="55" t="s">
        <v>928</v>
      </c>
      <c r="B437" s="76" t="s">
        <v>264</v>
      </c>
      <c r="C437" s="76" t="s">
        <v>265</v>
      </c>
      <c r="D437" s="77" t="s">
        <v>263</v>
      </c>
      <c r="E437" s="58" t="s">
        <v>260</v>
      </c>
      <c r="F437" s="59" t="s">
        <v>245</v>
      </c>
      <c r="H437" s="60" t="s">
        <v>928</v>
      </c>
      <c r="I437" s="79" t="s">
        <v>249</v>
      </c>
      <c r="J437" s="80" t="s">
        <v>250</v>
      </c>
      <c r="K437" s="80" t="s">
        <v>248</v>
      </c>
      <c r="L437" s="67" t="s">
        <v>245</v>
      </c>
      <c r="M437">
        <v>1</v>
      </c>
    </row>
    <row r="438" spans="1:13" ht="16.5" thickBot="1" x14ac:dyDescent="0.3">
      <c r="A438" s="55" t="s">
        <v>1037</v>
      </c>
      <c r="B438" s="74" t="s">
        <v>259</v>
      </c>
      <c r="C438" s="74" t="s">
        <v>257</v>
      </c>
      <c r="D438" s="75" t="s">
        <v>258</v>
      </c>
      <c r="E438" s="58" t="s">
        <v>260</v>
      </c>
      <c r="F438" s="59" t="s">
        <v>267</v>
      </c>
      <c r="H438" s="60" t="s">
        <v>1037</v>
      </c>
      <c r="I438" s="61" t="s">
        <v>249</v>
      </c>
      <c r="J438" s="62" t="s">
        <v>250</v>
      </c>
      <c r="K438" s="62" t="s">
        <v>248</v>
      </c>
      <c r="L438" s="63" t="s">
        <v>267</v>
      </c>
      <c r="M438">
        <v>2</v>
      </c>
    </row>
    <row r="439" spans="1:13" ht="16.5" thickBot="1" x14ac:dyDescent="0.3">
      <c r="A439" s="55" t="s">
        <v>929</v>
      </c>
      <c r="B439" s="64" t="s">
        <v>265</v>
      </c>
      <c r="C439" s="64" t="s">
        <v>263</v>
      </c>
      <c r="D439" s="65" t="s">
        <v>264</v>
      </c>
      <c r="E439" s="58" t="s">
        <v>260</v>
      </c>
      <c r="F439" s="59" t="s">
        <v>269</v>
      </c>
      <c r="H439" s="55" t="s">
        <v>929</v>
      </c>
      <c r="I439" s="61" t="s">
        <v>248</v>
      </c>
      <c r="J439" s="62" t="s">
        <v>249</v>
      </c>
      <c r="K439" s="62" t="s">
        <v>250</v>
      </c>
      <c r="L439" s="63" t="s">
        <v>269</v>
      </c>
      <c r="M439">
        <v>1</v>
      </c>
    </row>
    <row r="440" spans="1:13" ht="16.5" thickBot="1" x14ac:dyDescent="0.3">
      <c r="A440" s="55" t="s">
        <v>1038</v>
      </c>
      <c r="B440" s="74" t="s">
        <v>257</v>
      </c>
      <c r="C440" s="74" t="s">
        <v>258</v>
      </c>
      <c r="D440" s="75" t="s">
        <v>259</v>
      </c>
      <c r="E440" s="58" t="s">
        <v>260</v>
      </c>
      <c r="F440" s="59" t="s">
        <v>271</v>
      </c>
      <c r="H440" s="55" t="s">
        <v>1038</v>
      </c>
      <c r="I440" s="61" t="s">
        <v>248</v>
      </c>
      <c r="J440" s="62" t="s">
        <v>249</v>
      </c>
      <c r="K440" s="62" t="s">
        <v>250</v>
      </c>
      <c r="L440" s="67" t="s">
        <v>1370</v>
      </c>
      <c r="M440">
        <v>2</v>
      </c>
    </row>
    <row r="441" spans="1:13" ht="16.5" thickBot="1" x14ac:dyDescent="0.3">
      <c r="A441" s="55" t="s">
        <v>1039</v>
      </c>
      <c r="B441" s="64" t="s">
        <v>263</v>
      </c>
      <c r="C441" s="64" t="s">
        <v>264</v>
      </c>
      <c r="D441" s="65" t="s">
        <v>265</v>
      </c>
      <c r="E441" s="58" t="s">
        <v>260</v>
      </c>
      <c r="F441" s="59" t="s">
        <v>273</v>
      </c>
      <c r="H441" s="55" t="s">
        <v>1039</v>
      </c>
      <c r="I441" s="61" t="s">
        <v>250</v>
      </c>
      <c r="J441" s="62" t="s">
        <v>248</v>
      </c>
      <c r="K441" s="62" t="s">
        <v>249</v>
      </c>
      <c r="L441" s="63" t="s">
        <v>273</v>
      </c>
      <c r="M441">
        <v>1</v>
      </c>
    </row>
    <row r="442" spans="1:13" ht="16.5" thickBot="1" x14ac:dyDescent="0.3">
      <c r="A442" s="55" t="s">
        <v>1040</v>
      </c>
      <c r="B442" s="74" t="s">
        <v>258</v>
      </c>
      <c r="C442" s="74" t="s">
        <v>259</v>
      </c>
      <c r="D442" s="75" t="s">
        <v>257</v>
      </c>
      <c r="E442" s="58" t="s">
        <v>260</v>
      </c>
      <c r="F442" s="59" t="s">
        <v>275</v>
      </c>
      <c r="H442" s="55" t="s">
        <v>1040</v>
      </c>
      <c r="I442" s="61" t="s">
        <v>250</v>
      </c>
      <c r="J442" s="62" t="s">
        <v>248</v>
      </c>
      <c r="K442" s="62" t="s">
        <v>249</v>
      </c>
      <c r="L442" s="81" t="s">
        <v>1371</v>
      </c>
      <c r="M442">
        <v>2</v>
      </c>
    </row>
    <row r="443" spans="1:13" ht="16.5" thickBot="1" x14ac:dyDescent="0.3">
      <c r="A443" s="55" t="s">
        <v>1041</v>
      </c>
      <c r="B443" s="76" t="s">
        <v>264</v>
      </c>
      <c r="C443" s="76" t="s">
        <v>265</v>
      </c>
      <c r="D443" s="77" t="s">
        <v>263</v>
      </c>
      <c r="E443" s="58" t="s">
        <v>260</v>
      </c>
      <c r="F443" s="59" t="s">
        <v>261</v>
      </c>
      <c r="H443" s="55" t="s">
        <v>1041</v>
      </c>
      <c r="I443" s="79" t="s">
        <v>249</v>
      </c>
      <c r="J443" s="80" t="s">
        <v>250</v>
      </c>
      <c r="K443" s="80" t="s">
        <v>248</v>
      </c>
      <c r="L443" s="67" t="s">
        <v>261</v>
      </c>
      <c r="M443">
        <v>1</v>
      </c>
    </row>
    <row r="444" spans="1:13" ht="16.5" thickBot="1" x14ac:dyDescent="0.3">
      <c r="A444" s="55" t="s">
        <v>1042</v>
      </c>
      <c r="B444" s="74" t="s">
        <v>259</v>
      </c>
      <c r="C444" s="74" t="s">
        <v>257</v>
      </c>
      <c r="D444" s="75" t="s">
        <v>258</v>
      </c>
      <c r="E444" s="58" t="s">
        <v>260</v>
      </c>
      <c r="F444" s="59" t="s">
        <v>245</v>
      </c>
      <c r="H444" s="55" t="s">
        <v>1042</v>
      </c>
      <c r="I444" s="61" t="s">
        <v>249</v>
      </c>
      <c r="J444" s="62" t="s">
        <v>250</v>
      </c>
      <c r="K444" s="62" t="s">
        <v>248</v>
      </c>
      <c r="L444" s="63" t="s">
        <v>245</v>
      </c>
      <c r="M444">
        <v>1</v>
      </c>
    </row>
    <row r="445" spans="1:13" ht="16.5" thickBot="1" x14ac:dyDescent="0.3">
      <c r="A445" s="55" t="s">
        <v>1043</v>
      </c>
      <c r="B445" s="64" t="s">
        <v>265</v>
      </c>
      <c r="C445" s="64" t="s">
        <v>263</v>
      </c>
      <c r="D445" s="65" t="s">
        <v>264</v>
      </c>
      <c r="E445" s="58" t="s">
        <v>260</v>
      </c>
      <c r="F445" s="59" t="s">
        <v>267</v>
      </c>
      <c r="H445" s="55" t="s">
        <v>1043</v>
      </c>
      <c r="I445" s="61" t="s">
        <v>248</v>
      </c>
      <c r="J445" s="62" t="s">
        <v>249</v>
      </c>
      <c r="K445" s="62" t="s">
        <v>250</v>
      </c>
      <c r="L445" s="63" t="s">
        <v>267</v>
      </c>
      <c r="M445">
        <v>2</v>
      </c>
    </row>
    <row r="446" spans="1:13" ht="16.5" thickBot="1" x14ac:dyDescent="0.3">
      <c r="A446" s="55" t="s">
        <v>1044</v>
      </c>
      <c r="B446" s="74" t="s">
        <v>257</v>
      </c>
      <c r="C446" s="74" t="s">
        <v>258</v>
      </c>
      <c r="D446" s="75" t="s">
        <v>259</v>
      </c>
      <c r="E446" s="58" t="s">
        <v>260</v>
      </c>
      <c r="F446" s="59" t="s">
        <v>269</v>
      </c>
      <c r="H446" s="55" t="s">
        <v>1044</v>
      </c>
      <c r="I446" s="61" t="s">
        <v>248</v>
      </c>
      <c r="J446" s="62" t="s">
        <v>249</v>
      </c>
      <c r="K446" s="62" t="s">
        <v>250</v>
      </c>
      <c r="L446" s="67" t="s">
        <v>269</v>
      </c>
      <c r="M446">
        <v>1</v>
      </c>
    </row>
    <row r="447" spans="1:13" ht="16.5" thickBot="1" x14ac:dyDescent="0.3">
      <c r="A447" s="55" t="s">
        <v>1045</v>
      </c>
      <c r="B447" s="64" t="s">
        <v>263</v>
      </c>
      <c r="C447" s="64" t="s">
        <v>264</v>
      </c>
      <c r="D447" s="65" t="s">
        <v>265</v>
      </c>
      <c r="E447" s="58" t="s">
        <v>260</v>
      </c>
      <c r="F447" s="59" t="s">
        <v>271</v>
      </c>
      <c r="H447" s="55" t="s">
        <v>1045</v>
      </c>
      <c r="I447" s="61" t="s">
        <v>250</v>
      </c>
      <c r="J447" s="62" t="s">
        <v>248</v>
      </c>
      <c r="K447" s="62" t="s">
        <v>249</v>
      </c>
      <c r="L447" s="63" t="s">
        <v>1370</v>
      </c>
      <c r="M447">
        <v>2</v>
      </c>
    </row>
    <row r="448" spans="1:13" ht="16.5" thickBot="1" x14ac:dyDescent="0.3">
      <c r="A448" s="55" t="s">
        <v>1046</v>
      </c>
      <c r="B448" s="74" t="s">
        <v>258</v>
      </c>
      <c r="C448" s="74" t="s">
        <v>259</v>
      </c>
      <c r="D448" s="75" t="s">
        <v>257</v>
      </c>
      <c r="E448" s="58" t="s">
        <v>260</v>
      </c>
      <c r="F448" s="59" t="s">
        <v>273</v>
      </c>
      <c r="H448" s="55" t="s">
        <v>1046</v>
      </c>
      <c r="I448" s="61" t="s">
        <v>250</v>
      </c>
      <c r="J448" s="62" t="s">
        <v>248</v>
      </c>
      <c r="K448" s="62" t="s">
        <v>249</v>
      </c>
      <c r="L448" s="81" t="s">
        <v>273</v>
      </c>
      <c r="M448">
        <v>1</v>
      </c>
    </row>
    <row r="449" spans="1:13" ht="16.5" thickBot="1" x14ac:dyDescent="0.3">
      <c r="A449" s="55" t="s">
        <v>1047</v>
      </c>
      <c r="B449" s="76" t="s">
        <v>264</v>
      </c>
      <c r="C449" s="76" t="s">
        <v>265</v>
      </c>
      <c r="D449" s="77" t="s">
        <v>263</v>
      </c>
      <c r="E449" s="58" t="s">
        <v>260</v>
      </c>
      <c r="F449" s="59" t="s">
        <v>275</v>
      </c>
      <c r="H449" s="55" t="s">
        <v>1047</v>
      </c>
      <c r="I449" s="79" t="s">
        <v>249</v>
      </c>
      <c r="J449" s="80" t="s">
        <v>250</v>
      </c>
      <c r="K449" s="80" t="s">
        <v>248</v>
      </c>
      <c r="L449" s="67" t="s">
        <v>1371</v>
      </c>
      <c r="M449">
        <v>2</v>
      </c>
    </row>
    <row r="450" spans="1:13" ht="16.5" thickBot="1" x14ac:dyDescent="0.3">
      <c r="A450" s="55" t="s">
        <v>1048</v>
      </c>
      <c r="B450" s="74" t="s">
        <v>259</v>
      </c>
      <c r="C450" s="74" t="s">
        <v>257</v>
      </c>
      <c r="D450" s="75" t="s">
        <v>258</v>
      </c>
      <c r="E450" s="58" t="s">
        <v>260</v>
      </c>
      <c r="F450" s="59" t="s">
        <v>261</v>
      </c>
      <c r="H450" s="55" t="s">
        <v>1048</v>
      </c>
      <c r="I450" s="61" t="s">
        <v>249</v>
      </c>
      <c r="J450" s="62" t="s">
        <v>250</v>
      </c>
      <c r="K450" s="62" t="s">
        <v>248</v>
      </c>
      <c r="L450" s="63" t="s">
        <v>261</v>
      </c>
      <c r="M450">
        <v>1</v>
      </c>
    </row>
    <row r="451" spans="1:13" ht="16.5" thickBot="1" x14ac:dyDescent="0.3">
      <c r="A451" s="55" t="s">
        <v>1049</v>
      </c>
      <c r="B451" s="64" t="s">
        <v>265</v>
      </c>
      <c r="C451" s="64" t="s">
        <v>263</v>
      </c>
      <c r="D451" s="65" t="s">
        <v>264</v>
      </c>
      <c r="E451" s="58" t="s">
        <v>260</v>
      </c>
      <c r="F451" s="59" t="s">
        <v>245</v>
      </c>
      <c r="H451" s="55" t="s">
        <v>1049</v>
      </c>
      <c r="I451" s="61" t="s">
        <v>248</v>
      </c>
      <c r="J451" s="62" t="s">
        <v>249</v>
      </c>
      <c r="K451" s="62" t="s">
        <v>250</v>
      </c>
      <c r="L451" s="63" t="s">
        <v>245</v>
      </c>
      <c r="M451">
        <v>1</v>
      </c>
    </row>
    <row r="452" spans="1:13" ht="16.5" thickBot="1" x14ac:dyDescent="0.3">
      <c r="A452" s="55" t="s">
        <v>1050</v>
      </c>
      <c r="B452" s="74" t="s">
        <v>257</v>
      </c>
      <c r="C452" s="74" t="s">
        <v>258</v>
      </c>
      <c r="D452" s="75" t="s">
        <v>259</v>
      </c>
      <c r="E452" s="58" t="s">
        <v>260</v>
      </c>
      <c r="F452" s="59" t="s">
        <v>267</v>
      </c>
      <c r="H452" s="55" t="s">
        <v>1050</v>
      </c>
      <c r="I452" s="61" t="s">
        <v>248</v>
      </c>
      <c r="J452" s="62" t="s">
        <v>249</v>
      </c>
      <c r="K452" s="62" t="s">
        <v>250</v>
      </c>
      <c r="L452" s="67" t="s">
        <v>267</v>
      </c>
      <c r="M452">
        <v>2</v>
      </c>
    </row>
    <row r="453" spans="1:13" ht="16.5" thickBot="1" x14ac:dyDescent="0.3">
      <c r="A453" s="55" t="s">
        <v>1051</v>
      </c>
      <c r="B453" s="64" t="s">
        <v>263</v>
      </c>
      <c r="C453" s="64" t="s">
        <v>264</v>
      </c>
      <c r="D453" s="65" t="s">
        <v>265</v>
      </c>
      <c r="E453" s="58" t="s">
        <v>260</v>
      </c>
      <c r="F453" s="59" t="s">
        <v>269</v>
      </c>
      <c r="H453" s="55" t="s">
        <v>1051</v>
      </c>
      <c r="I453" s="61" t="s">
        <v>250</v>
      </c>
      <c r="J453" s="62" t="s">
        <v>248</v>
      </c>
      <c r="K453" s="62" t="s">
        <v>249</v>
      </c>
      <c r="L453" s="63" t="s">
        <v>269</v>
      </c>
      <c r="M453">
        <v>1</v>
      </c>
    </row>
    <row r="454" spans="1:13" ht="16.5" thickBot="1" x14ac:dyDescent="0.3">
      <c r="A454" s="55" t="s">
        <v>1052</v>
      </c>
      <c r="B454" s="74" t="s">
        <v>258</v>
      </c>
      <c r="C454" s="74" t="s">
        <v>259</v>
      </c>
      <c r="D454" s="75" t="s">
        <v>257</v>
      </c>
      <c r="E454" s="58" t="s">
        <v>260</v>
      </c>
      <c r="F454" s="59" t="s">
        <v>271</v>
      </c>
      <c r="H454" s="55" t="s">
        <v>1052</v>
      </c>
      <c r="I454" s="61" t="s">
        <v>250</v>
      </c>
      <c r="J454" s="62" t="s">
        <v>248</v>
      </c>
      <c r="K454" s="62" t="s">
        <v>249</v>
      </c>
      <c r="L454" s="81" t="s">
        <v>1370</v>
      </c>
      <c r="M454">
        <v>2</v>
      </c>
    </row>
    <row r="455" spans="1:13" ht="16.5" thickBot="1" x14ac:dyDescent="0.3">
      <c r="A455" s="55" t="s">
        <v>1053</v>
      </c>
      <c r="B455" s="76" t="s">
        <v>264</v>
      </c>
      <c r="C455" s="76" t="s">
        <v>265</v>
      </c>
      <c r="D455" s="77" t="s">
        <v>263</v>
      </c>
      <c r="E455" s="58" t="s">
        <v>260</v>
      </c>
      <c r="F455" s="59" t="s">
        <v>273</v>
      </c>
      <c r="H455" s="55" t="s">
        <v>1053</v>
      </c>
      <c r="I455" s="79" t="s">
        <v>249</v>
      </c>
      <c r="J455" s="80" t="s">
        <v>250</v>
      </c>
      <c r="K455" s="80" t="s">
        <v>248</v>
      </c>
      <c r="L455" s="67" t="s">
        <v>273</v>
      </c>
      <c r="M455">
        <v>1</v>
      </c>
    </row>
    <row r="456" spans="1:13" ht="16.5" thickBot="1" x14ac:dyDescent="0.3">
      <c r="A456" s="55" t="s">
        <v>1054</v>
      </c>
      <c r="B456" s="74" t="s">
        <v>259</v>
      </c>
      <c r="C456" s="74" t="s">
        <v>257</v>
      </c>
      <c r="D456" s="75" t="s">
        <v>258</v>
      </c>
      <c r="E456" s="58" t="s">
        <v>260</v>
      </c>
      <c r="F456" s="59" t="s">
        <v>275</v>
      </c>
      <c r="H456" s="55" t="s">
        <v>1054</v>
      </c>
      <c r="I456" s="61" t="s">
        <v>249</v>
      </c>
      <c r="J456" s="62" t="s">
        <v>250</v>
      </c>
      <c r="K456" s="62" t="s">
        <v>248</v>
      </c>
      <c r="L456" s="63" t="s">
        <v>1371</v>
      </c>
      <c r="M456">
        <v>2</v>
      </c>
    </row>
    <row r="457" spans="1:13" ht="16.5" thickBot="1" x14ac:dyDescent="0.3">
      <c r="A457" s="55" t="s">
        <v>1055</v>
      </c>
      <c r="B457" s="64" t="s">
        <v>265</v>
      </c>
      <c r="C457" s="64" t="s">
        <v>263</v>
      </c>
      <c r="D457" s="65" t="s">
        <v>264</v>
      </c>
      <c r="E457" s="58" t="s">
        <v>260</v>
      </c>
      <c r="F457" s="59" t="s">
        <v>261</v>
      </c>
      <c r="H457" s="55" t="s">
        <v>1055</v>
      </c>
      <c r="I457" s="61" t="s">
        <v>248</v>
      </c>
      <c r="J457" s="62" t="s">
        <v>249</v>
      </c>
      <c r="K457" s="62" t="s">
        <v>250</v>
      </c>
      <c r="L457" s="63" t="s">
        <v>261</v>
      </c>
      <c r="M457">
        <v>1</v>
      </c>
    </row>
    <row r="458" spans="1:13" ht="16.5" thickBot="1" x14ac:dyDescent="0.3">
      <c r="A458" s="55" t="s">
        <v>1056</v>
      </c>
      <c r="B458" s="74" t="s">
        <v>257</v>
      </c>
      <c r="C458" s="74" t="s">
        <v>258</v>
      </c>
      <c r="D458" s="75" t="s">
        <v>259</v>
      </c>
      <c r="E458" s="58" t="s">
        <v>260</v>
      </c>
      <c r="F458" s="59" t="s">
        <v>245</v>
      </c>
      <c r="H458" s="55" t="s">
        <v>1056</v>
      </c>
      <c r="I458" s="61" t="s">
        <v>248</v>
      </c>
      <c r="J458" s="62" t="s">
        <v>249</v>
      </c>
      <c r="K458" s="62" t="s">
        <v>250</v>
      </c>
      <c r="L458" s="67" t="s">
        <v>245</v>
      </c>
      <c r="M458">
        <v>1</v>
      </c>
    </row>
    <row r="459" spans="1:13" ht="16.5" thickBot="1" x14ac:dyDescent="0.3">
      <c r="A459" s="55" t="s">
        <v>1057</v>
      </c>
      <c r="B459" s="64" t="s">
        <v>263</v>
      </c>
      <c r="C459" s="64" t="s">
        <v>264</v>
      </c>
      <c r="D459" s="65" t="s">
        <v>265</v>
      </c>
      <c r="E459" s="58" t="s">
        <v>260</v>
      </c>
      <c r="F459" s="59" t="s">
        <v>267</v>
      </c>
      <c r="H459" s="55" t="s">
        <v>1057</v>
      </c>
      <c r="I459" s="61" t="s">
        <v>250</v>
      </c>
      <c r="J459" s="62" t="s">
        <v>248</v>
      </c>
      <c r="K459" s="62" t="s">
        <v>249</v>
      </c>
      <c r="L459" s="63" t="s">
        <v>267</v>
      </c>
      <c r="M459">
        <v>2</v>
      </c>
    </row>
    <row r="460" spans="1:13" ht="16.5" thickBot="1" x14ac:dyDescent="0.3">
      <c r="A460" s="55" t="s">
        <v>1058</v>
      </c>
      <c r="B460" s="74" t="s">
        <v>258</v>
      </c>
      <c r="C460" s="74" t="s">
        <v>259</v>
      </c>
      <c r="D460" s="75" t="s">
        <v>257</v>
      </c>
      <c r="E460" s="58" t="s">
        <v>260</v>
      </c>
      <c r="F460" s="59" t="s">
        <v>269</v>
      </c>
      <c r="H460" s="55" t="s">
        <v>1058</v>
      </c>
      <c r="I460" s="61" t="s">
        <v>250</v>
      </c>
      <c r="J460" s="62" t="s">
        <v>248</v>
      </c>
      <c r="K460" s="62" t="s">
        <v>249</v>
      </c>
      <c r="L460" s="81" t="s">
        <v>269</v>
      </c>
      <c r="M460">
        <v>1</v>
      </c>
    </row>
    <row r="461" spans="1:13" ht="16.5" thickBot="1" x14ac:dyDescent="0.3">
      <c r="A461" s="55" t="s">
        <v>1059</v>
      </c>
      <c r="B461" s="76" t="s">
        <v>264</v>
      </c>
      <c r="C461" s="76" t="s">
        <v>265</v>
      </c>
      <c r="D461" s="77" t="s">
        <v>263</v>
      </c>
      <c r="E461" s="58" t="s">
        <v>260</v>
      </c>
      <c r="F461" s="59" t="s">
        <v>271</v>
      </c>
      <c r="H461" s="55" t="s">
        <v>1059</v>
      </c>
      <c r="I461" s="79" t="s">
        <v>249</v>
      </c>
      <c r="J461" s="80" t="s">
        <v>250</v>
      </c>
      <c r="K461" s="80" t="s">
        <v>248</v>
      </c>
      <c r="L461" s="67" t="s">
        <v>1370</v>
      </c>
      <c r="M461">
        <v>2</v>
      </c>
    </row>
    <row r="462" spans="1:13" ht="16.5" thickBot="1" x14ac:dyDescent="0.3">
      <c r="A462" s="55" t="s">
        <v>1060</v>
      </c>
      <c r="B462" s="74" t="s">
        <v>259</v>
      </c>
      <c r="C462" s="74" t="s">
        <v>257</v>
      </c>
      <c r="D462" s="75" t="s">
        <v>258</v>
      </c>
      <c r="E462" s="58" t="s">
        <v>260</v>
      </c>
      <c r="F462" s="59" t="s">
        <v>273</v>
      </c>
      <c r="H462" s="55" t="s">
        <v>1060</v>
      </c>
      <c r="I462" s="61" t="s">
        <v>249</v>
      </c>
      <c r="J462" s="62" t="s">
        <v>250</v>
      </c>
      <c r="K462" s="62" t="s">
        <v>248</v>
      </c>
      <c r="L462" s="63" t="s">
        <v>273</v>
      </c>
      <c r="M462">
        <v>1</v>
      </c>
    </row>
    <row r="463" spans="1:13" ht="16.5" thickBot="1" x14ac:dyDescent="0.3">
      <c r="A463" s="55" t="s">
        <v>1061</v>
      </c>
      <c r="B463" s="64" t="s">
        <v>265</v>
      </c>
      <c r="C463" s="64" t="s">
        <v>263</v>
      </c>
      <c r="D463" s="65" t="s">
        <v>264</v>
      </c>
      <c r="E463" s="58" t="s">
        <v>260</v>
      </c>
      <c r="F463" s="59" t="s">
        <v>275</v>
      </c>
      <c r="H463" s="55" t="s">
        <v>1061</v>
      </c>
      <c r="I463" s="61" t="s">
        <v>248</v>
      </c>
      <c r="J463" s="62" t="s">
        <v>249</v>
      </c>
      <c r="K463" s="62" t="s">
        <v>250</v>
      </c>
      <c r="L463" s="63" t="s">
        <v>1371</v>
      </c>
      <c r="M463">
        <v>2</v>
      </c>
    </row>
    <row r="464" spans="1:13" ht="16.5" thickBot="1" x14ac:dyDescent="0.3">
      <c r="A464" s="55" t="s">
        <v>1062</v>
      </c>
      <c r="B464" s="74" t="s">
        <v>257</v>
      </c>
      <c r="C464" s="74" t="s">
        <v>258</v>
      </c>
      <c r="D464" s="75" t="s">
        <v>259</v>
      </c>
      <c r="E464" s="58" t="s">
        <v>260</v>
      </c>
      <c r="F464" s="59" t="s">
        <v>261</v>
      </c>
      <c r="H464" s="55" t="s">
        <v>1062</v>
      </c>
      <c r="I464" s="61" t="s">
        <v>248</v>
      </c>
      <c r="J464" s="62" t="s">
        <v>249</v>
      </c>
      <c r="K464" s="62" t="s">
        <v>250</v>
      </c>
      <c r="L464" s="67" t="s">
        <v>261</v>
      </c>
      <c r="M464">
        <v>1</v>
      </c>
    </row>
    <row r="465" spans="1:13" ht="16.5" thickBot="1" x14ac:dyDescent="0.3">
      <c r="A465" s="55" t="s">
        <v>1063</v>
      </c>
      <c r="B465" s="64" t="s">
        <v>263</v>
      </c>
      <c r="C465" s="64" t="s">
        <v>264</v>
      </c>
      <c r="D465" s="65" t="s">
        <v>265</v>
      </c>
      <c r="E465" s="58" t="s">
        <v>260</v>
      </c>
      <c r="F465" s="59" t="s">
        <v>245</v>
      </c>
      <c r="H465" s="55" t="s">
        <v>1063</v>
      </c>
      <c r="I465" s="61" t="s">
        <v>250</v>
      </c>
      <c r="J465" s="62" t="s">
        <v>248</v>
      </c>
      <c r="K465" s="62" t="s">
        <v>249</v>
      </c>
      <c r="L465" s="63" t="s">
        <v>245</v>
      </c>
      <c r="M465">
        <v>1</v>
      </c>
    </row>
    <row r="466" spans="1:13" ht="16.5" thickBot="1" x14ac:dyDescent="0.3">
      <c r="A466" s="55" t="s">
        <v>1064</v>
      </c>
      <c r="B466" s="74" t="s">
        <v>258</v>
      </c>
      <c r="C466" s="74" t="s">
        <v>259</v>
      </c>
      <c r="D466" s="75" t="s">
        <v>257</v>
      </c>
      <c r="E466" s="58" t="s">
        <v>260</v>
      </c>
      <c r="F466" s="59" t="s">
        <v>267</v>
      </c>
      <c r="H466" s="55" t="s">
        <v>1064</v>
      </c>
      <c r="I466" s="61" t="s">
        <v>250</v>
      </c>
      <c r="J466" s="62" t="s">
        <v>248</v>
      </c>
      <c r="K466" s="62" t="s">
        <v>249</v>
      </c>
      <c r="L466" s="81" t="s">
        <v>267</v>
      </c>
      <c r="M466">
        <v>2</v>
      </c>
    </row>
    <row r="467" spans="1:13" ht="16.5" thickBot="1" x14ac:dyDescent="0.3">
      <c r="A467" s="55" t="s">
        <v>1065</v>
      </c>
      <c r="B467" s="76" t="s">
        <v>264</v>
      </c>
      <c r="C467" s="76" t="s">
        <v>265</v>
      </c>
      <c r="D467" s="77" t="s">
        <v>263</v>
      </c>
      <c r="E467" s="58" t="s">
        <v>260</v>
      </c>
      <c r="F467" s="59" t="s">
        <v>269</v>
      </c>
      <c r="H467" s="55" t="s">
        <v>1065</v>
      </c>
      <c r="I467" s="79" t="s">
        <v>249</v>
      </c>
      <c r="J467" s="80" t="s">
        <v>250</v>
      </c>
      <c r="K467" s="80" t="s">
        <v>248</v>
      </c>
      <c r="L467" s="67" t="s">
        <v>269</v>
      </c>
      <c r="M467">
        <v>1</v>
      </c>
    </row>
    <row r="468" spans="1:13" ht="16.5" thickBot="1" x14ac:dyDescent="0.3">
      <c r="A468" s="55" t="s">
        <v>1066</v>
      </c>
      <c r="B468" s="74" t="s">
        <v>259</v>
      </c>
      <c r="C468" s="74" t="s">
        <v>257</v>
      </c>
      <c r="D468" s="75" t="s">
        <v>258</v>
      </c>
      <c r="E468" s="58" t="s">
        <v>260</v>
      </c>
      <c r="F468" s="59" t="s">
        <v>271</v>
      </c>
      <c r="H468" s="55" t="s">
        <v>1066</v>
      </c>
      <c r="I468" s="61" t="s">
        <v>249</v>
      </c>
      <c r="J468" s="62" t="s">
        <v>250</v>
      </c>
      <c r="K468" s="62" t="s">
        <v>248</v>
      </c>
      <c r="L468" s="63" t="s">
        <v>1370</v>
      </c>
      <c r="M468">
        <v>2</v>
      </c>
    </row>
    <row r="469" spans="1:13" ht="16.5" thickBot="1" x14ac:dyDescent="0.3">
      <c r="A469" s="55" t="s">
        <v>1067</v>
      </c>
      <c r="B469" s="64" t="s">
        <v>265</v>
      </c>
      <c r="C469" s="64" t="s">
        <v>263</v>
      </c>
      <c r="D469" s="65" t="s">
        <v>264</v>
      </c>
      <c r="E469" s="58" t="s">
        <v>260</v>
      </c>
      <c r="F469" s="59" t="s">
        <v>273</v>
      </c>
      <c r="H469" s="55" t="s">
        <v>1067</v>
      </c>
      <c r="I469" s="61" t="s">
        <v>248</v>
      </c>
      <c r="J469" s="62" t="s">
        <v>249</v>
      </c>
      <c r="K469" s="62" t="s">
        <v>250</v>
      </c>
      <c r="L469" s="63" t="s">
        <v>273</v>
      </c>
      <c r="M469">
        <v>1</v>
      </c>
    </row>
    <row r="470" spans="1:13" ht="16.5" thickBot="1" x14ac:dyDescent="0.3">
      <c r="A470" s="55" t="s">
        <v>1068</v>
      </c>
      <c r="B470" s="74" t="s">
        <v>257</v>
      </c>
      <c r="C470" s="74" t="s">
        <v>258</v>
      </c>
      <c r="D470" s="75" t="s">
        <v>259</v>
      </c>
      <c r="E470" s="58" t="s">
        <v>260</v>
      </c>
      <c r="F470" s="59" t="s">
        <v>275</v>
      </c>
      <c r="H470" s="55" t="s">
        <v>1068</v>
      </c>
      <c r="I470" s="61" t="s">
        <v>248</v>
      </c>
      <c r="J470" s="62" t="s">
        <v>249</v>
      </c>
      <c r="K470" s="62" t="s">
        <v>250</v>
      </c>
      <c r="L470" s="67" t="s">
        <v>1371</v>
      </c>
      <c r="M470">
        <v>2</v>
      </c>
    </row>
    <row r="471" spans="1:13" ht="16.5" thickBot="1" x14ac:dyDescent="0.3">
      <c r="A471" s="55" t="s">
        <v>1069</v>
      </c>
      <c r="B471" s="64" t="s">
        <v>263</v>
      </c>
      <c r="C471" s="64" t="s">
        <v>264</v>
      </c>
      <c r="D471" s="65" t="s">
        <v>265</v>
      </c>
      <c r="E471" s="58" t="s">
        <v>260</v>
      </c>
      <c r="F471" s="59" t="s">
        <v>261</v>
      </c>
      <c r="H471" s="55" t="s">
        <v>1069</v>
      </c>
      <c r="I471" s="61" t="s">
        <v>250</v>
      </c>
      <c r="J471" s="62" t="s">
        <v>248</v>
      </c>
      <c r="K471" s="62" t="s">
        <v>249</v>
      </c>
      <c r="L471" s="63" t="s">
        <v>261</v>
      </c>
      <c r="M471">
        <v>1</v>
      </c>
    </row>
    <row r="472" spans="1:13" ht="16.5" thickBot="1" x14ac:dyDescent="0.3">
      <c r="A472" s="55" t="s">
        <v>1070</v>
      </c>
      <c r="B472" s="74" t="s">
        <v>258</v>
      </c>
      <c r="C472" s="74" t="s">
        <v>259</v>
      </c>
      <c r="D472" s="75" t="s">
        <v>257</v>
      </c>
      <c r="E472" s="58" t="s">
        <v>260</v>
      </c>
      <c r="F472" s="59" t="s">
        <v>245</v>
      </c>
      <c r="H472" s="55" t="s">
        <v>1070</v>
      </c>
      <c r="I472" s="61" t="s">
        <v>250</v>
      </c>
      <c r="J472" s="62" t="s">
        <v>248</v>
      </c>
      <c r="K472" s="62" t="s">
        <v>249</v>
      </c>
      <c r="L472" s="81" t="s">
        <v>245</v>
      </c>
      <c r="M472">
        <v>1</v>
      </c>
    </row>
    <row r="473" spans="1:13" ht="16.5" thickBot="1" x14ac:dyDescent="0.3">
      <c r="A473" s="55" t="s">
        <v>1071</v>
      </c>
      <c r="B473" s="76" t="s">
        <v>264</v>
      </c>
      <c r="C473" s="76" t="s">
        <v>265</v>
      </c>
      <c r="D473" s="77" t="s">
        <v>263</v>
      </c>
      <c r="E473" s="58" t="s">
        <v>260</v>
      </c>
      <c r="F473" s="59" t="s">
        <v>267</v>
      </c>
      <c r="H473" s="55" t="s">
        <v>1071</v>
      </c>
      <c r="I473" s="79" t="s">
        <v>249</v>
      </c>
      <c r="J473" s="80" t="s">
        <v>250</v>
      </c>
      <c r="K473" s="80" t="s">
        <v>248</v>
      </c>
      <c r="L473" s="67" t="s">
        <v>267</v>
      </c>
      <c r="M473">
        <v>2</v>
      </c>
    </row>
    <row r="474" spans="1:13" ht="16.5" thickBot="1" x14ac:dyDescent="0.3">
      <c r="A474" s="55" t="s">
        <v>1072</v>
      </c>
      <c r="B474" s="74" t="s">
        <v>259</v>
      </c>
      <c r="C474" s="74" t="s">
        <v>257</v>
      </c>
      <c r="D474" s="75" t="s">
        <v>258</v>
      </c>
      <c r="E474" s="58" t="s">
        <v>260</v>
      </c>
      <c r="F474" s="59" t="s">
        <v>269</v>
      </c>
      <c r="H474" s="55" t="s">
        <v>1072</v>
      </c>
      <c r="I474" s="61" t="s">
        <v>249</v>
      </c>
      <c r="J474" s="62" t="s">
        <v>250</v>
      </c>
      <c r="K474" s="62" t="s">
        <v>248</v>
      </c>
      <c r="L474" s="63" t="s">
        <v>269</v>
      </c>
      <c r="M474">
        <v>1</v>
      </c>
    </row>
    <row r="475" spans="1:13" ht="16.5" thickBot="1" x14ac:dyDescent="0.3">
      <c r="A475" s="55" t="s">
        <v>1073</v>
      </c>
      <c r="B475" s="64" t="s">
        <v>265</v>
      </c>
      <c r="C475" s="64" t="s">
        <v>263</v>
      </c>
      <c r="D475" s="65" t="s">
        <v>264</v>
      </c>
      <c r="E475" s="58" t="s">
        <v>260</v>
      </c>
      <c r="F475" s="59" t="s">
        <v>271</v>
      </c>
      <c r="H475" s="55" t="s">
        <v>1073</v>
      </c>
      <c r="I475" s="61" t="s">
        <v>248</v>
      </c>
      <c r="J475" s="62" t="s">
        <v>249</v>
      </c>
      <c r="K475" s="62" t="s">
        <v>250</v>
      </c>
      <c r="L475" s="63" t="s">
        <v>1370</v>
      </c>
      <c r="M475">
        <v>2</v>
      </c>
    </row>
    <row r="476" spans="1:13" ht="16.5" thickBot="1" x14ac:dyDescent="0.3">
      <c r="A476" s="55" t="s">
        <v>1074</v>
      </c>
      <c r="B476" s="74" t="s">
        <v>257</v>
      </c>
      <c r="C476" s="74" t="s">
        <v>258</v>
      </c>
      <c r="D476" s="75" t="s">
        <v>259</v>
      </c>
      <c r="E476" s="58" t="s">
        <v>260</v>
      </c>
      <c r="F476" s="59" t="s">
        <v>273</v>
      </c>
      <c r="H476" s="55" t="s">
        <v>1074</v>
      </c>
      <c r="I476" s="61" t="s">
        <v>248</v>
      </c>
      <c r="J476" s="62" t="s">
        <v>249</v>
      </c>
      <c r="K476" s="62" t="s">
        <v>250</v>
      </c>
      <c r="L476" s="67" t="s">
        <v>273</v>
      </c>
      <c r="M476">
        <v>1</v>
      </c>
    </row>
    <row r="477" spans="1:13" ht="16.5" thickBot="1" x14ac:dyDescent="0.3">
      <c r="A477" s="55" t="s">
        <v>1075</v>
      </c>
      <c r="B477" s="64" t="s">
        <v>263</v>
      </c>
      <c r="C477" s="64" t="s">
        <v>264</v>
      </c>
      <c r="D477" s="65" t="s">
        <v>265</v>
      </c>
      <c r="E477" s="58" t="s">
        <v>260</v>
      </c>
      <c r="F477" s="59" t="s">
        <v>275</v>
      </c>
      <c r="H477" s="55" t="s">
        <v>1075</v>
      </c>
      <c r="I477" s="61" t="s">
        <v>250</v>
      </c>
      <c r="J477" s="62" t="s">
        <v>248</v>
      </c>
      <c r="K477" s="62" t="s">
        <v>249</v>
      </c>
      <c r="L477" s="63" t="s">
        <v>1371</v>
      </c>
      <c r="M477">
        <v>2</v>
      </c>
    </row>
    <row r="478" spans="1:13" ht="16.5" thickBot="1" x14ac:dyDescent="0.3">
      <c r="A478" s="55" t="s">
        <v>1076</v>
      </c>
      <c r="B478" s="74" t="s">
        <v>258</v>
      </c>
      <c r="C478" s="74" t="s">
        <v>259</v>
      </c>
      <c r="D478" s="75" t="s">
        <v>257</v>
      </c>
      <c r="E478" s="58" t="s">
        <v>260</v>
      </c>
      <c r="F478" s="59" t="s">
        <v>261</v>
      </c>
      <c r="H478" s="55" t="s">
        <v>1076</v>
      </c>
      <c r="I478" s="61" t="s">
        <v>250</v>
      </c>
      <c r="J478" s="62" t="s">
        <v>248</v>
      </c>
      <c r="K478" s="62" t="s">
        <v>249</v>
      </c>
      <c r="L478" s="81" t="s">
        <v>261</v>
      </c>
      <c r="M478">
        <v>1</v>
      </c>
    </row>
    <row r="479" spans="1:13" ht="16.5" thickBot="1" x14ac:dyDescent="0.3">
      <c r="A479" s="55" t="s">
        <v>1077</v>
      </c>
      <c r="B479" s="76" t="s">
        <v>264</v>
      </c>
      <c r="C479" s="76" t="s">
        <v>265</v>
      </c>
      <c r="D479" s="77" t="s">
        <v>263</v>
      </c>
      <c r="E479" s="58" t="s">
        <v>260</v>
      </c>
      <c r="F479" s="59" t="s">
        <v>245</v>
      </c>
      <c r="H479" s="55" t="s">
        <v>1077</v>
      </c>
      <c r="I479" s="79" t="s">
        <v>249</v>
      </c>
      <c r="J479" s="80" t="s">
        <v>250</v>
      </c>
      <c r="K479" s="80" t="s">
        <v>248</v>
      </c>
      <c r="L479" s="67" t="s">
        <v>245</v>
      </c>
      <c r="M479">
        <v>1</v>
      </c>
    </row>
    <row r="480" spans="1:13" ht="16.5" thickBot="1" x14ac:dyDescent="0.3">
      <c r="A480" s="55" t="s">
        <v>1078</v>
      </c>
      <c r="B480" s="74" t="s">
        <v>259</v>
      </c>
      <c r="C480" s="74" t="s">
        <v>257</v>
      </c>
      <c r="D480" s="75" t="s">
        <v>258</v>
      </c>
      <c r="E480" s="58" t="s">
        <v>260</v>
      </c>
      <c r="F480" s="59" t="s">
        <v>267</v>
      </c>
      <c r="H480" s="55" t="s">
        <v>1078</v>
      </c>
      <c r="I480" s="61" t="s">
        <v>249</v>
      </c>
      <c r="J480" s="62" t="s">
        <v>250</v>
      </c>
      <c r="K480" s="62" t="s">
        <v>248</v>
      </c>
      <c r="L480" s="63" t="s">
        <v>267</v>
      </c>
      <c r="M480">
        <v>2</v>
      </c>
    </row>
    <row r="481" spans="1:13" ht="16.5" thickBot="1" x14ac:dyDescent="0.3">
      <c r="A481" s="55" t="s">
        <v>1079</v>
      </c>
      <c r="B481" s="64" t="s">
        <v>265</v>
      </c>
      <c r="C481" s="64" t="s">
        <v>263</v>
      </c>
      <c r="D481" s="65" t="s">
        <v>264</v>
      </c>
      <c r="E481" s="58" t="s">
        <v>260</v>
      </c>
      <c r="F481" s="59" t="s">
        <v>269</v>
      </c>
      <c r="H481" s="55" t="s">
        <v>1079</v>
      </c>
      <c r="I481" s="61" t="s">
        <v>248</v>
      </c>
      <c r="J481" s="62" t="s">
        <v>249</v>
      </c>
      <c r="K481" s="62" t="s">
        <v>250</v>
      </c>
      <c r="L481" s="63" t="s">
        <v>269</v>
      </c>
      <c r="M481">
        <v>1</v>
      </c>
    </row>
    <row r="482" spans="1:13" ht="16.5" thickBot="1" x14ac:dyDescent="0.3">
      <c r="A482" s="55" t="s">
        <v>1080</v>
      </c>
      <c r="B482" s="74" t="s">
        <v>257</v>
      </c>
      <c r="C482" s="74" t="s">
        <v>258</v>
      </c>
      <c r="D482" s="75" t="s">
        <v>259</v>
      </c>
      <c r="E482" s="58" t="s">
        <v>260</v>
      </c>
      <c r="F482" s="59" t="s">
        <v>271</v>
      </c>
      <c r="H482" s="55" t="s">
        <v>1080</v>
      </c>
      <c r="I482" s="61" t="s">
        <v>248</v>
      </c>
      <c r="J482" s="62" t="s">
        <v>249</v>
      </c>
      <c r="K482" s="62" t="s">
        <v>250</v>
      </c>
      <c r="L482" s="67" t="s">
        <v>1370</v>
      </c>
      <c r="M482">
        <v>2</v>
      </c>
    </row>
    <row r="483" spans="1:13" ht="16.5" thickBot="1" x14ac:dyDescent="0.3">
      <c r="A483" s="55" t="s">
        <v>1081</v>
      </c>
      <c r="B483" s="64" t="s">
        <v>263</v>
      </c>
      <c r="C483" s="64" t="s">
        <v>264</v>
      </c>
      <c r="D483" s="65" t="s">
        <v>265</v>
      </c>
      <c r="E483" s="58" t="s">
        <v>260</v>
      </c>
      <c r="F483" s="59" t="s">
        <v>273</v>
      </c>
      <c r="H483" s="55" t="s">
        <v>1081</v>
      </c>
      <c r="I483" s="61" t="s">
        <v>250</v>
      </c>
      <c r="J483" s="62" t="s">
        <v>248</v>
      </c>
      <c r="K483" s="62" t="s">
        <v>249</v>
      </c>
      <c r="L483" s="63" t="s">
        <v>273</v>
      </c>
      <c r="M483">
        <v>1</v>
      </c>
    </row>
    <row r="484" spans="1:13" ht="16.5" thickBot="1" x14ac:dyDescent="0.3">
      <c r="A484" s="55" t="s">
        <v>1082</v>
      </c>
      <c r="B484" s="74" t="s">
        <v>258</v>
      </c>
      <c r="C484" s="74" t="s">
        <v>259</v>
      </c>
      <c r="D484" s="75" t="s">
        <v>257</v>
      </c>
      <c r="E484" s="58" t="s">
        <v>260</v>
      </c>
      <c r="F484" s="59" t="s">
        <v>275</v>
      </c>
      <c r="H484" s="55" t="s">
        <v>1082</v>
      </c>
      <c r="I484" s="61" t="s">
        <v>250</v>
      </c>
      <c r="J484" s="62" t="s">
        <v>248</v>
      </c>
      <c r="K484" s="62" t="s">
        <v>249</v>
      </c>
      <c r="L484" s="81" t="s">
        <v>1371</v>
      </c>
      <c r="M484">
        <v>2</v>
      </c>
    </row>
    <row r="485" spans="1:13" ht="16.5" thickBot="1" x14ac:dyDescent="0.3">
      <c r="A485" s="55" t="s">
        <v>1083</v>
      </c>
      <c r="B485" s="76" t="s">
        <v>264</v>
      </c>
      <c r="C485" s="76" t="s">
        <v>265</v>
      </c>
      <c r="D485" s="77" t="s">
        <v>263</v>
      </c>
      <c r="E485" s="58" t="s">
        <v>260</v>
      </c>
      <c r="F485" s="59" t="s">
        <v>261</v>
      </c>
      <c r="H485" s="55" t="s">
        <v>1083</v>
      </c>
      <c r="I485" s="79" t="s">
        <v>249</v>
      </c>
      <c r="J485" s="80" t="s">
        <v>250</v>
      </c>
      <c r="K485" s="80" t="s">
        <v>248</v>
      </c>
      <c r="L485" s="67" t="s">
        <v>261</v>
      </c>
      <c r="M485">
        <v>1</v>
      </c>
    </row>
    <row r="486" spans="1:13" ht="16.5" thickBot="1" x14ac:dyDescent="0.3">
      <c r="A486" s="55" t="s">
        <v>1084</v>
      </c>
      <c r="B486" s="74" t="s">
        <v>259</v>
      </c>
      <c r="C486" s="74" t="s">
        <v>257</v>
      </c>
      <c r="D486" s="75" t="s">
        <v>258</v>
      </c>
      <c r="E486" s="58" t="s">
        <v>260</v>
      </c>
      <c r="F486" s="59" t="s">
        <v>245</v>
      </c>
      <c r="H486" s="55" t="s">
        <v>1084</v>
      </c>
      <c r="I486" s="61" t="s">
        <v>249</v>
      </c>
      <c r="J486" s="62" t="s">
        <v>250</v>
      </c>
      <c r="K486" s="62" t="s">
        <v>248</v>
      </c>
      <c r="L486" s="63" t="s">
        <v>245</v>
      </c>
      <c r="M486">
        <v>1</v>
      </c>
    </row>
    <row r="487" spans="1:13" ht="16.5" thickBot="1" x14ac:dyDescent="0.3">
      <c r="A487" s="55" t="s">
        <v>1085</v>
      </c>
      <c r="B487" s="64" t="s">
        <v>265</v>
      </c>
      <c r="C487" s="64" t="s">
        <v>263</v>
      </c>
      <c r="D487" s="65" t="s">
        <v>264</v>
      </c>
      <c r="E487" s="58" t="s">
        <v>260</v>
      </c>
      <c r="F487" s="59" t="s">
        <v>267</v>
      </c>
      <c r="H487" s="55" t="s">
        <v>1085</v>
      </c>
      <c r="I487" s="61" t="s">
        <v>248</v>
      </c>
      <c r="J487" s="62" t="s">
        <v>249</v>
      </c>
      <c r="K487" s="62" t="s">
        <v>250</v>
      </c>
      <c r="L487" s="63" t="s">
        <v>267</v>
      </c>
      <c r="M487">
        <v>2</v>
      </c>
    </row>
    <row r="488" spans="1:13" ht="16.5" thickBot="1" x14ac:dyDescent="0.3">
      <c r="A488" s="55" t="s">
        <v>1086</v>
      </c>
      <c r="B488" s="74" t="s">
        <v>257</v>
      </c>
      <c r="C488" s="74" t="s">
        <v>258</v>
      </c>
      <c r="D488" s="75" t="s">
        <v>259</v>
      </c>
      <c r="E488" s="58" t="s">
        <v>260</v>
      </c>
      <c r="F488" s="59" t="s">
        <v>269</v>
      </c>
      <c r="H488" s="55" t="s">
        <v>1086</v>
      </c>
      <c r="I488" s="61" t="s">
        <v>248</v>
      </c>
      <c r="J488" s="62" t="s">
        <v>249</v>
      </c>
      <c r="K488" s="62" t="s">
        <v>250</v>
      </c>
      <c r="L488" s="67" t="s">
        <v>269</v>
      </c>
      <c r="M488">
        <v>1</v>
      </c>
    </row>
    <row r="489" spans="1:13" ht="16.5" thickBot="1" x14ac:dyDescent="0.3">
      <c r="A489" s="55" t="s">
        <v>1087</v>
      </c>
      <c r="B489" s="64" t="s">
        <v>263</v>
      </c>
      <c r="C489" s="64" t="s">
        <v>264</v>
      </c>
      <c r="D489" s="65" t="s">
        <v>265</v>
      </c>
      <c r="E489" s="58" t="s">
        <v>260</v>
      </c>
      <c r="F489" s="59" t="s">
        <v>271</v>
      </c>
      <c r="H489" s="55" t="s">
        <v>1087</v>
      </c>
      <c r="I489" s="61" t="s">
        <v>250</v>
      </c>
      <c r="J489" s="62" t="s">
        <v>248</v>
      </c>
      <c r="K489" s="62" t="s">
        <v>249</v>
      </c>
      <c r="L489" s="63" t="s">
        <v>1370</v>
      </c>
      <c r="M489">
        <v>2</v>
      </c>
    </row>
    <row r="490" spans="1:13" ht="16.5" thickBot="1" x14ac:dyDescent="0.3">
      <c r="A490" s="55" t="s">
        <v>1088</v>
      </c>
      <c r="B490" s="74" t="s">
        <v>258</v>
      </c>
      <c r="C490" s="74" t="s">
        <v>259</v>
      </c>
      <c r="D490" s="75" t="s">
        <v>257</v>
      </c>
      <c r="E490" s="58" t="s">
        <v>260</v>
      </c>
      <c r="F490" s="59" t="s">
        <v>273</v>
      </c>
      <c r="H490" s="55" t="s">
        <v>1088</v>
      </c>
      <c r="I490" s="61" t="s">
        <v>250</v>
      </c>
      <c r="J490" s="62" t="s">
        <v>248</v>
      </c>
      <c r="K490" s="62" t="s">
        <v>249</v>
      </c>
      <c r="L490" s="81" t="s">
        <v>273</v>
      </c>
      <c r="M490">
        <v>1</v>
      </c>
    </row>
    <row r="491" spans="1:13" ht="16.5" thickBot="1" x14ac:dyDescent="0.3">
      <c r="A491" s="55" t="s">
        <v>1089</v>
      </c>
      <c r="B491" s="76" t="s">
        <v>264</v>
      </c>
      <c r="C491" s="76" t="s">
        <v>265</v>
      </c>
      <c r="D491" s="77" t="s">
        <v>263</v>
      </c>
      <c r="E491" s="58" t="s">
        <v>260</v>
      </c>
      <c r="F491" s="59" t="s">
        <v>275</v>
      </c>
      <c r="H491" s="55" t="s">
        <v>1089</v>
      </c>
      <c r="I491" s="79" t="s">
        <v>249</v>
      </c>
      <c r="J491" s="80" t="s">
        <v>250</v>
      </c>
      <c r="K491" s="80" t="s">
        <v>248</v>
      </c>
      <c r="L491" s="67" t="s">
        <v>1371</v>
      </c>
      <c r="M491">
        <v>2</v>
      </c>
    </row>
    <row r="492" spans="1:13" ht="16.5" thickBot="1" x14ac:dyDescent="0.3">
      <c r="A492" s="55" t="s">
        <v>1090</v>
      </c>
      <c r="B492" s="74" t="s">
        <v>259</v>
      </c>
      <c r="C492" s="74" t="s">
        <v>257</v>
      </c>
      <c r="D492" s="75" t="s">
        <v>258</v>
      </c>
      <c r="E492" s="58" t="s">
        <v>260</v>
      </c>
      <c r="F492" s="59" t="s">
        <v>261</v>
      </c>
      <c r="H492" s="55" t="s">
        <v>1090</v>
      </c>
      <c r="I492" s="61" t="s">
        <v>249</v>
      </c>
      <c r="J492" s="62" t="s">
        <v>250</v>
      </c>
      <c r="K492" s="62" t="s">
        <v>248</v>
      </c>
      <c r="L492" s="63" t="s">
        <v>261</v>
      </c>
      <c r="M492">
        <v>1</v>
      </c>
    </row>
    <row r="493" spans="1:13" ht="16.5" thickBot="1" x14ac:dyDescent="0.3">
      <c r="A493" s="55" t="s">
        <v>1091</v>
      </c>
      <c r="B493" s="64" t="s">
        <v>265</v>
      </c>
      <c r="C493" s="64" t="s">
        <v>263</v>
      </c>
      <c r="D493" s="65" t="s">
        <v>264</v>
      </c>
      <c r="E493" s="58" t="s">
        <v>260</v>
      </c>
      <c r="F493" s="59" t="s">
        <v>245</v>
      </c>
      <c r="H493" s="55" t="s">
        <v>1091</v>
      </c>
      <c r="I493" s="61" t="s">
        <v>248</v>
      </c>
      <c r="J493" s="62" t="s">
        <v>249</v>
      </c>
      <c r="K493" s="62" t="s">
        <v>250</v>
      </c>
      <c r="L493" s="63" t="s">
        <v>245</v>
      </c>
      <c r="M493">
        <v>1</v>
      </c>
    </row>
    <row r="494" spans="1:13" ht="16.5" thickBot="1" x14ac:dyDescent="0.3">
      <c r="A494" s="55" t="s">
        <v>1092</v>
      </c>
      <c r="B494" s="74" t="s">
        <v>257</v>
      </c>
      <c r="C494" s="74" t="s">
        <v>258</v>
      </c>
      <c r="D494" s="75" t="s">
        <v>259</v>
      </c>
      <c r="E494" s="58" t="s">
        <v>260</v>
      </c>
      <c r="F494" s="59" t="s">
        <v>267</v>
      </c>
      <c r="H494" s="55" t="s">
        <v>1092</v>
      </c>
      <c r="I494" s="61" t="s">
        <v>248</v>
      </c>
      <c r="J494" s="62" t="s">
        <v>249</v>
      </c>
      <c r="K494" s="62" t="s">
        <v>250</v>
      </c>
      <c r="L494" s="67" t="s">
        <v>267</v>
      </c>
      <c r="M494">
        <v>2</v>
      </c>
    </row>
    <row r="495" spans="1:13" ht="16.5" thickBot="1" x14ac:dyDescent="0.3">
      <c r="A495" s="55" t="s">
        <v>1093</v>
      </c>
      <c r="B495" s="64" t="s">
        <v>263</v>
      </c>
      <c r="C495" s="64" t="s">
        <v>264</v>
      </c>
      <c r="D495" s="65" t="s">
        <v>265</v>
      </c>
      <c r="E495" s="58" t="s">
        <v>260</v>
      </c>
      <c r="F495" s="59" t="s">
        <v>269</v>
      </c>
      <c r="H495" s="55" t="s">
        <v>1093</v>
      </c>
      <c r="I495" s="61" t="s">
        <v>250</v>
      </c>
      <c r="J495" s="62" t="s">
        <v>248</v>
      </c>
      <c r="K495" s="62" t="s">
        <v>249</v>
      </c>
      <c r="L495" s="63" t="s">
        <v>269</v>
      </c>
      <c r="M495">
        <v>1</v>
      </c>
    </row>
    <row r="496" spans="1:13" ht="16.5" thickBot="1" x14ac:dyDescent="0.3">
      <c r="A496" s="55" t="s">
        <v>1094</v>
      </c>
      <c r="B496" s="74" t="s">
        <v>258</v>
      </c>
      <c r="C496" s="74" t="s">
        <v>259</v>
      </c>
      <c r="D496" s="75" t="s">
        <v>257</v>
      </c>
      <c r="E496" s="58" t="s">
        <v>260</v>
      </c>
      <c r="F496" s="59" t="s">
        <v>271</v>
      </c>
      <c r="H496" s="55" t="s">
        <v>1094</v>
      </c>
      <c r="I496" s="61" t="s">
        <v>250</v>
      </c>
      <c r="J496" s="62" t="s">
        <v>248</v>
      </c>
      <c r="K496" s="62" t="s">
        <v>249</v>
      </c>
      <c r="L496" s="81" t="s">
        <v>1370</v>
      </c>
      <c r="M496">
        <v>2</v>
      </c>
    </row>
    <row r="497" spans="1:13" ht="16.5" thickBot="1" x14ac:dyDescent="0.3">
      <c r="A497" s="55" t="s">
        <v>1095</v>
      </c>
      <c r="B497" s="76" t="s">
        <v>264</v>
      </c>
      <c r="C497" s="76" t="s">
        <v>265</v>
      </c>
      <c r="D497" s="77" t="s">
        <v>263</v>
      </c>
      <c r="E497" s="58" t="s">
        <v>260</v>
      </c>
      <c r="F497" s="59" t="s">
        <v>273</v>
      </c>
      <c r="H497" s="55" t="s">
        <v>1095</v>
      </c>
      <c r="I497" s="79" t="s">
        <v>249</v>
      </c>
      <c r="J497" s="80" t="s">
        <v>250</v>
      </c>
      <c r="K497" s="80" t="s">
        <v>248</v>
      </c>
      <c r="L497" s="67" t="s">
        <v>273</v>
      </c>
      <c r="M497">
        <v>1</v>
      </c>
    </row>
    <row r="498" spans="1:13" ht="16.5" thickBot="1" x14ac:dyDescent="0.3">
      <c r="A498" s="55" t="s">
        <v>1096</v>
      </c>
      <c r="B498" s="74" t="s">
        <v>259</v>
      </c>
      <c r="C498" s="74" t="s">
        <v>257</v>
      </c>
      <c r="D498" s="75" t="s">
        <v>258</v>
      </c>
      <c r="E498" s="58" t="s">
        <v>260</v>
      </c>
      <c r="F498" s="59" t="s">
        <v>275</v>
      </c>
      <c r="H498" s="55" t="s">
        <v>1096</v>
      </c>
      <c r="I498" s="61" t="s">
        <v>249</v>
      </c>
      <c r="J498" s="62" t="s">
        <v>250</v>
      </c>
      <c r="K498" s="62" t="s">
        <v>248</v>
      </c>
      <c r="L498" s="63" t="s">
        <v>1371</v>
      </c>
      <c r="M498">
        <v>2</v>
      </c>
    </row>
    <row r="499" spans="1:13" ht="16.5" thickBot="1" x14ac:dyDescent="0.3">
      <c r="A499" s="55" t="s">
        <v>1097</v>
      </c>
      <c r="B499" s="64" t="s">
        <v>265</v>
      </c>
      <c r="C499" s="64" t="s">
        <v>263</v>
      </c>
      <c r="D499" s="65" t="s">
        <v>264</v>
      </c>
      <c r="E499" s="58" t="s">
        <v>260</v>
      </c>
      <c r="F499" s="59" t="s">
        <v>261</v>
      </c>
      <c r="H499" s="55" t="s">
        <v>1097</v>
      </c>
      <c r="I499" s="61" t="s">
        <v>248</v>
      </c>
      <c r="J499" s="62" t="s">
        <v>249</v>
      </c>
      <c r="K499" s="62" t="s">
        <v>250</v>
      </c>
      <c r="L499" s="63" t="s">
        <v>261</v>
      </c>
      <c r="M499">
        <v>1</v>
      </c>
    </row>
    <row r="500" spans="1:13" ht="16.5" thickBot="1" x14ac:dyDescent="0.3">
      <c r="A500" s="55" t="s">
        <v>1098</v>
      </c>
      <c r="B500" s="74" t="s">
        <v>257</v>
      </c>
      <c r="C500" s="74" t="s">
        <v>258</v>
      </c>
      <c r="D500" s="75" t="s">
        <v>259</v>
      </c>
      <c r="E500" s="58" t="s">
        <v>260</v>
      </c>
      <c r="F500" s="59" t="s">
        <v>245</v>
      </c>
      <c r="H500" s="55" t="s">
        <v>1098</v>
      </c>
      <c r="I500" s="61" t="s">
        <v>248</v>
      </c>
      <c r="J500" s="62" t="s">
        <v>249</v>
      </c>
      <c r="K500" s="62" t="s">
        <v>250</v>
      </c>
      <c r="L500" s="67" t="s">
        <v>245</v>
      </c>
      <c r="M500">
        <v>1</v>
      </c>
    </row>
    <row r="501" spans="1:13" ht="16.5" thickBot="1" x14ac:dyDescent="0.3">
      <c r="A501" s="55" t="s">
        <v>1099</v>
      </c>
      <c r="B501" s="64" t="s">
        <v>263</v>
      </c>
      <c r="C501" s="64" t="s">
        <v>264</v>
      </c>
      <c r="D501" s="65" t="s">
        <v>265</v>
      </c>
      <c r="E501" s="58" t="s">
        <v>260</v>
      </c>
      <c r="F501" s="59" t="s">
        <v>267</v>
      </c>
      <c r="H501" s="55" t="s">
        <v>1099</v>
      </c>
      <c r="I501" s="61" t="s">
        <v>250</v>
      </c>
      <c r="J501" s="62" t="s">
        <v>248</v>
      </c>
      <c r="K501" s="62" t="s">
        <v>249</v>
      </c>
      <c r="L501" s="63" t="s">
        <v>267</v>
      </c>
      <c r="M501">
        <v>2</v>
      </c>
    </row>
    <row r="502" spans="1:13" ht="16.5" thickBot="1" x14ac:dyDescent="0.3">
      <c r="A502" s="55" t="s">
        <v>1100</v>
      </c>
      <c r="B502" s="74" t="s">
        <v>258</v>
      </c>
      <c r="C502" s="74" t="s">
        <v>259</v>
      </c>
      <c r="D502" s="75" t="s">
        <v>257</v>
      </c>
      <c r="E502" s="58" t="s">
        <v>260</v>
      </c>
      <c r="F502" s="59" t="s">
        <v>269</v>
      </c>
      <c r="H502" s="55" t="s">
        <v>1100</v>
      </c>
      <c r="I502" s="61" t="s">
        <v>250</v>
      </c>
      <c r="J502" s="62" t="s">
        <v>248</v>
      </c>
      <c r="K502" s="62" t="s">
        <v>249</v>
      </c>
      <c r="L502" s="81" t="s">
        <v>269</v>
      </c>
      <c r="M502">
        <v>1</v>
      </c>
    </row>
    <row r="503" spans="1:13" ht="16.5" thickBot="1" x14ac:dyDescent="0.3">
      <c r="A503" s="55" t="s">
        <v>1101</v>
      </c>
      <c r="B503" s="76" t="s">
        <v>264</v>
      </c>
      <c r="C503" s="76" t="s">
        <v>265</v>
      </c>
      <c r="D503" s="77" t="s">
        <v>263</v>
      </c>
      <c r="E503" s="58" t="s">
        <v>260</v>
      </c>
      <c r="F503" s="59" t="s">
        <v>271</v>
      </c>
      <c r="H503" s="55" t="s">
        <v>1101</v>
      </c>
      <c r="I503" s="79" t="s">
        <v>249</v>
      </c>
      <c r="J503" s="80" t="s">
        <v>250</v>
      </c>
      <c r="K503" s="80" t="s">
        <v>248</v>
      </c>
      <c r="L503" s="67" t="s">
        <v>1370</v>
      </c>
      <c r="M503">
        <v>2</v>
      </c>
    </row>
    <row r="504" spans="1:13" ht="16.5" thickBot="1" x14ac:dyDescent="0.3">
      <c r="A504" s="55" t="s">
        <v>1102</v>
      </c>
      <c r="B504" s="74" t="s">
        <v>259</v>
      </c>
      <c r="C504" s="74" t="s">
        <v>257</v>
      </c>
      <c r="D504" s="75" t="s">
        <v>258</v>
      </c>
      <c r="E504" s="58" t="s">
        <v>260</v>
      </c>
      <c r="F504" s="59" t="s">
        <v>273</v>
      </c>
      <c r="H504" s="55" t="s">
        <v>1102</v>
      </c>
      <c r="I504" s="61" t="s">
        <v>249</v>
      </c>
      <c r="J504" s="62" t="s">
        <v>250</v>
      </c>
      <c r="K504" s="62" t="s">
        <v>248</v>
      </c>
      <c r="L504" s="63" t="s">
        <v>273</v>
      </c>
      <c r="M504">
        <v>1</v>
      </c>
    </row>
    <row r="505" spans="1:13" ht="16.5" thickBot="1" x14ac:dyDescent="0.3">
      <c r="A505" s="55" t="s">
        <v>1103</v>
      </c>
      <c r="B505" s="64" t="s">
        <v>265</v>
      </c>
      <c r="C505" s="64" t="s">
        <v>263</v>
      </c>
      <c r="D505" s="65" t="s">
        <v>264</v>
      </c>
      <c r="E505" s="58" t="s">
        <v>260</v>
      </c>
      <c r="F505" s="59" t="s">
        <v>275</v>
      </c>
      <c r="H505" s="55" t="s">
        <v>1103</v>
      </c>
      <c r="I505" s="61" t="s">
        <v>248</v>
      </c>
      <c r="J505" s="62" t="s">
        <v>249</v>
      </c>
      <c r="K505" s="62" t="s">
        <v>250</v>
      </c>
      <c r="L505" s="63" t="s">
        <v>1371</v>
      </c>
      <c r="M505">
        <v>2</v>
      </c>
    </row>
    <row r="506" spans="1:13" ht="16.5" thickBot="1" x14ac:dyDescent="0.3">
      <c r="A506" s="55" t="s">
        <v>1104</v>
      </c>
      <c r="B506" s="74" t="s">
        <v>257</v>
      </c>
      <c r="C506" s="74" t="s">
        <v>258</v>
      </c>
      <c r="D506" s="75" t="s">
        <v>259</v>
      </c>
      <c r="E506" s="58" t="s">
        <v>260</v>
      </c>
      <c r="F506" s="59" t="s">
        <v>261</v>
      </c>
      <c r="H506" s="55" t="s">
        <v>1104</v>
      </c>
      <c r="I506" s="61" t="s">
        <v>248</v>
      </c>
      <c r="J506" s="62" t="s">
        <v>249</v>
      </c>
      <c r="K506" s="62" t="s">
        <v>250</v>
      </c>
      <c r="L506" s="67" t="s">
        <v>261</v>
      </c>
      <c r="M506">
        <v>1</v>
      </c>
    </row>
    <row r="507" spans="1:13" ht="16.5" thickBot="1" x14ac:dyDescent="0.3">
      <c r="A507" s="55" t="s">
        <v>1105</v>
      </c>
      <c r="B507" s="64" t="s">
        <v>263</v>
      </c>
      <c r="C507" s="64" t="s">
        <v>264</v>
      </c>
      <c r="D507" s="65" t="s">
        <v>265</v>
      </c>
      <c r="E507" s="58" t="s">
        <v>260</v>
      </c>
      <c r="F507" s="59" t="s">
        <v>245</v>
      </c>
      <c r="H507" s="55" t="s">
        <v>1105</v>
      </c>
      <c r="I507" s="61" t="s">
        <v>250</v>
      </c>
      <c r="J507" s="62" t="s">
        <v>248</v>
      </c>
      <c r="K507" s="62" t="s">
        <v>249</v>
      </c>
      <c r="L507" s="63" t="s">
        <v>245</v>
      </c>
      <c r="M507">
        <v>1</v>
      </c>
    </row>
    <row r="508" spans="1:13" ht="16.5" thickBot="1" x14ac:dyDescent="0.3">
      <c r="A508" s="55" t="s">
        <v>1106</v>
      </c>
      <c r="B508" s="74" t="s">
        <v>258</v>
      </c>
      <c r="C508" s="74" t="s">
        <v>259</v>
      </c>
      <c r="D508" s="75" t="s">
        <v>257</v>
      </c>
      <c r="E508" s="58" t="s">
        <v>260</v>
      </c>
      <c r="F508" s="59" t="s">
        <v>267</v>
      </c>
      <c r="H508" s="55" t="s">
        <v>1106</v>
      </c>
      <c r="I508" s="61" t="s">
        <v>250</v>
      </c>
      <c r="J508" s="62" t="s">
        <v>248</v>
      </c>
      <c r="K508" s="62" t="s">
        <v>249</v>
      </c>
      <c r="L508" s="81" t="s">
        <v>267</v>
      </c>
      <c r="M508">
        <v>2</v>
      </c>
    </row>
    <row r="509" spans="1:13" ht="16.5" thickBot="1" x14ac:dyDescent="0.3">
      <c r="A509" s="55" t="s">
        <v>1107</v>
      </c>
      <c r="B509" s="76" t="s">
        <v>264</v>
      </c>
      <c r="C509" s="76" t="s">
        <v>265</v>
      </c>
      <c r="D509" s="77" t="s">
        <v>263</v>
      </c>
      <c r="E509" s="58" t="s">
        <v>260</v>
      </c>
      <c r="F509" s="59" t="s">
        <v>269</v>
      </c>
      <c r="H509" s="55" t="s">
        <v>1107</v>
      </c>
      <c r="I509" s="79" t="s">
        <v>249</v>
      </c>
      <c r="J509" s="80" t="s">
        <v>250</v>
      </c>
      <c r="K509" s="80" t="s">
        <v>248</v>
      </c>
      <c r="L509" s="67" t="s">
        <v>269</v>
      </c>
      <c r="M509">
        <v>1</v>
      </c>
    </row>
    <row r="510" spans="1:13" ht="16.5" thickBot="1" x14ac:dyDescent="0.3">
      <c r="A510" s="55" t="s">
        <v>1108</v>
      </c>
      <c r="B510" s="74" t="s">
        <v>259</v>
      </c>
      <c r="C510" s="74" t="s">
        <v>257</v>
      </c>
      <c r="D510" s="75" t="s">
        <v>258</v>
      </c>
      <c r="E510" s="58" t="s">
        <v>260</v>
      </c>
      <c r="F510" s="59" t="s">
        <v>271</v>
      </c>
      <c r="H510" s="55" t="s">
        <v>1108</v>
      </c>
      <c r="I510" s="61" t="s">
        <v>249</v>
      </c>
      <c r="J510" s="62" t="s">
        <v>250</v>
      </c>
      <c r="K510" s="62" t="s">
        <v>248</v>
      </c>
      <c r="L510" s="63" t="s">
        <v>1370</v>
      </c>
      <c r="M510">
        <v>2</v>
      </c>
    </row>
    <row r="511" spans="1:13" ht="16.5" thickBot="1" x14ac:dyDescent="0.3">
      <c r="A511" s="55" t="s">
        <v>1109</v>
      </c>
      <c r="B511" s="64" t="s">
        <v>265</v>
      </c>
      <c r="C511" s="64" t="s">
        <v>263</v>
      </c>
      <c r="D511" s="65" t="s">
        <v>264</v>
      </c>
      <c r="E511" s="58" t="s">
        <v>260</v>
      </c>
      <c r="F511" s="59" t="s">
        <v>273</v>
      </c>
      <c r="H511" s="55" t="s">
        <v>1109</v>
      </c>
      <c r="I511" s="61" t="s">
        <v>248</v>
      </c>
      <c r="J511" s="62" t="s">
        <v>249</v>
      </c>
      <c r="K511" s="62" t="s">
        <v>250</v>
      </c>
      <c r="L511" s="63" t="s">
        <v>273</v>
      </c>
      <c r="M511">
        <v>1</v>
      </c>
    </row>
    <row r="512" spans="1:13" ht="16.5" thickBot="1" x14ac:dyDescent="0.3">
      <c r="A512" s="55" t="s">
        <v>1110</v>
      </c>
      <c r="B512" s="74" t="s">
        <v>257</v>
      </c>
      <c r="C512" s="74" t="s">
        <v>258</v>
      </c>
      <c r="D512" s="75" t="s">
        <v>259</v>
      </c>
      <c r="E512" s="58" t="s">
        <v>260</v>
      </c>
      <c r="F512" s="59" t="s">
        <v>275</v>
      </c>
      <c r="H512" s="55" t="s">
        <v>1110</v>
      </c>
      <c r="I512" s="61" t="s">
        <v>248</v>
      </c>
      <c r="J512" s="62" t="s">
        <v>249</v>
      </c>
      <c r="K512" s="62" t="s">
        <v>250</v>
      </c>
      <c r="L512" s="67" t="s">
        <v>1371</v>
      </c>
      <c r="M512">
        <v>2</v>
      </c>
    </row>
    <row r="513" spans="1:13" ht="16.5" thickBot="1" x14ac:dyDescent="0.3">
      <c r="A513" s="55" t="s">
        <v>1111</v>
      </c>
      <c r="B513" s="64" t="s">
        <v>263</v>
      </c>
      <c r="C513" s="64" t="s">
        <v>264</v>
      </c>
      <c r="D513" s="65" t="s">
        <v>265</v>
      </c>
      <c r="E513" s="58" t="s">
        <v>260</v>
      </c>
      <c r="F513" s="59" t="s">
        <v>261</v>
      </c>
      <c r="H513" s="55" t="s">
        <v>1111</v>
      </c>
      <c r="I513" s="61" t="s">
        <v>250</v>
      </c>
      <c r="J513" s="62" t="s">
        <v>248</v>
      </c>
      <c r="K513" s="62" t="s">
        <v>249</v>
      </c>
      <c r="L513" s="63" t="s">
        <v>261</v>
      </c>
      <c r="M513">
        <v>1</v>
      </c>
    </row>
    <row r="514" spans="1:13" ht="16.5" thickBot="1" x14ac:dyDescent="0.3">
      <c r="A514" s="55" t="s">
        <v>1112</v>
      </c>
      <c r="B514" s="74" t="s">
        <v>258</v>
      </c>
      <c r="C514" s="74" t="s">
        <v>259</v>
      </c>
      <c r="D514" s="75" t="s">
        <v>257</v>
      </c>
      <c r="E514" s="58" t="s">
        <v>260</v>
      </c>
      <c r="F514" s="59" t="s">
        <v>245</v>
      </c>
      <c r="H514" s="55" t="s">
        <v>1112</v>
      </c>
      <c r="I514" s="61" t="s">
        <v>250</v>
      </c>
      <c r="J514" s="62" t="s">
        <v>248</v>
      </c>
      <c r="K514" s="62" t="s">
        <v>249</v>
      </c>
      <c r="L514" s="81" t="s">
        <v>245</v>
      </c>
      <c r="M514">
        <v>1</v>
      </c>
    </row>
    <row r="515" spans="1:13" ht="16.5" thickBot="1" x14ac:dyDescent="0.3">
      <c r="A515" s="55" t="s">
        <v>1113</v>
      </c>
      <c r="B515" s="76" t="s">
        <v>264</v>
      </c>
      <c r="C515" s="76" t="s">
        <v>265</v>
      </c>
      <c r="D515" s="77" t="s">
        <v>263</v>
      </c>
      <c r="E515" s="58" t="s">
        <v>260</v>
      </c>
      <c r="F515" s="59" t="s">
        <v>267</v>
      </c>
      <c r="H515" s="55" t="s">
        <v>1113</v>
      </c>
      <c r="I515" s="79" t="s">
        <v>249</v>
      </c>
      <c r="J515" s="80" t="s">
        <v>250</v>
      </c>
      <c r="K515" s="80" t="s">
        <v>248</v>
      </c>
      <c r="L515" s="67" t="s">
        <v>267</v>
      </c>
      <c r="M515">
        <v>2</v>
      </c>
    </row>
    <row r="516" spans="1:13" ht="16.5" thickBot="1" x14ac:dyDescent="0.3">
      <c r="A516" s="55" t="s">
        <v>1114</v>
      </c>
      <c r="B516" s="74" t="s">
        <v>259</v>
      </c>
      <c r="C516" s="74" t="s">
        <v>257</v>
      </c>
      <c r="D516" s="75" t="s">
        <v>258</v>
      </c>
      <c r="E516" s="58" t="s">
        <v>260</v>
      </c>
      <c r="F516" s="59" t="s">
        <v>269</v>
      </c>
      <c r="H516" s="55" t="s">
        <v>1114</v>
      </c>
      <c r="I516" s="61" t="s">
        <v>249</v>
      </c>
      <c r="J516" s="62" t="s">
        <v>250</v>
      </c>
      <c r="K516" s="62" t="s">
        <v>248</v>
      </c>
      <c r="L516" s="63" t="s">
        <v>269</v>
      </c>
      <c r="M516">
        <v>1</v>
      </c>
    </row>
    <row r="517" spans="1:13" ht="16.5" thickBot="1" x14ac:dyDescent="0.3">
      <c r="A517" s="55" t="s">
        <v>1115</v>
      </c>
      <c r="B517" s="64" t="s">
        <v>265</v>
      </c>
      <c r="C517" s="64" t="s">
        <v>263</v>
      </c>
      <c r="D517" s="65" t="s">
        <v>264</v>
      </c>
      <c r="E517" s="58" t="s">
        <v>260</v>
      </c>
      <c r="F517" s="59" t="s">
        <v>271</v>
      </c>
      <c r="H517" s="55" t="s">
        <v>1115</v>
      </c>
      <c r="I517" s="61" t="s">
        <v>248</v>
      </c>
      <c r="J517" s="62" t="s">
        <v>249</v>
      </c>
      <c r="K517" s="62" t="s">
        <v>250</v>
      </c>
      <c r="L517" s="63" t="s">
        <v>1370</v>
      </c>
      <c r="M517">
        <v>2</v>
      </c>
    </row>
    <row r="518" spans="1:13" ht="16.5" thickBot="1" x14ac:dyDescent="0.3">
      <c r="A518" s="55" t="s">
        <v>1116</v>
      </c>
      <c r="B518" s="74" t="s">
        <v>257</v>
      </c>
      <c r="C518" s="74" t="s">
        <v>258</v>
      </c>
      <c r="D518" s="75" t="s">
        <v>259</v>
      </c>
      <c r="E518" s="58" t="s">
        <v>260</v>
      </c>
      <c r="F518" s="59" t="s">
        <v>273</v>
      </c>
      <c r="H518" s="55" t="s">
        <v>1116</v>
      </c>
      <c r="I518" s="61" t="s">
        <v>248</v>
      </c>
      <c r="J518" s="62" t="s">
        <v>249</v>
      </c>
      <c r="K518" s="62" t="s">
        <v>250</v>
      </c>
      <c r="L518" s="67" t="s">
        <v>273</v>
      </c>
      <c r="M518">
        <v>1</v>
      </c>
    </row>
    <row r="519" spans="1:13" ht="16.5" thickBot="1" x14ac:dyDescent="0.3">
      <c r="A519" s="55" t="s">
        <v>1117</v>
      </c>
      <c r="B519" s="64" t="s">
        <v>263</v>
      </c>
      <c r="C519" s="64" t="s">
        <v>264</v>
      </c>
      <c r="D519" s="65" t="s">
        <v>265</v>
      </c>
      <c r="E519" s="58" t="s">
        <v>260</v>
      </c>
      <c r="F519" s="59" t="s">
        <v>275</v>
      </c>
      <c r="H519" s="55" t="s">
        <v>1117</v>
      </c>
      <c r="I519" s="61" t="s">
        <v>250</v>
      </c>
      <c r="J519" s="62" t="s">
        <v>248</v>
      </c>
      <c r="K519" s="62" t="s">
        <v>249</v>
      </c>
      <c r="L519" s="63" t="s">
        <v>1371</v>
      </c>
      <c r="M519">
        <v>2</v>
      </c>
    </row>
    <row r="520" spans="1:13" ht="16.5" thickBot="1" x14ac:dyDescent="0.3">
      <c r="A520" s="55" t="s">
        <v>1118</v>
      </c>
      <c r="B520" s="74" t="s">
        <v>258</v>
      </c>
      <c r="C520" s="74" t="s">
        <v>259</v>
      </c>
      <c r="D520" s="75" t="s">
        <v>257</v>
      </c>
      <c r="E520" s="58" t="s">
        <v>260</v>
      </c>
      <c r="F520" s="59" t="s">
        <v>261</v>
      </c>
      <c r="H520" s="55" t="s">
        <v>1118</v>
      </c>
      <c r="I520" s="61" t="s">
        <v>250</v>
      </c>
      <c r="J520" s="62" t="s">
        <v>248</v>
      </c>
      <c r="K520" s="62" t="s">
        <v>249</v>
      </c>
      <c r="L520" s="81" t="s">
        <v>261</v>
      </c>
      <c r="M520">
        <v>1</v>
      </c>
    </row>
    <row r="521" spans="1:13" ht="16.5" thickBot="1" x14ac:dyDescent="0.3">
      <c r="A521" s="55" t="s">
        <v>1119</v>
      </c>
      <c r="B521" s="76" t="s">
        <v>264</v>
      </c>
      <c r="C521" s="76" t="s">
        <v>265</v>
      </c>
      <c r="D521" s="77" t="s">
        <v>263</v>
      </c>
      <c r="E521" s="58" t="s">
        <v>260</v>
      </c>
      <c r="F521" s="59" t="s">
        <v>245</v>
      </c>
      <c r="H521" s="55" t="s">
        <v>1119</v>
      </c>
      <c r="I521" s="79" t="s">
        <v>249</v>
      </c>
      <c r="J521" s="80" t="s">
        <v>250</v>
      </c>
      <c r="K521" s="80" t="s">
        <v>248</v>
      </c>
      <c r="L521" s="67" t="s">
        <v>245</v>
      </c>
      <c r="M521">
        <v>1</v>
      </c>
    </row>
    <row r="522" spans="1:13" ht="16.5" thickBot="1" x14ac:dyDescent="0.3">
      <c r="A522" s="55" t="s">
        <v>1120</v>
      </c>
      <c r="B522" s="74" t="s">
        <v>259</v>
      </c>
      <c r="C522" s="74" t="s">
        <v>257</v>
      </c>
      <c r="D522" s="75" t="s">
        <v>258</v>
      </c>
      <c r="E522" s="58" t="s">
        <v>260</v>
      </c>
      <c r="F522" s="59" t="s">
        <v>267</v>
      </c>
      <c r="H522" s="55" t="s">
        <v>1120</v>
      </c>
      <c r="I522" s="61" t="s">
        <v>249</v>
      </c>
      <c r="J522" s="62" t="s">
        <v>250</v>
      </c>
      <c r="K522" s="62" t="s">
        <v>248</v>
      </c>
      <c r="L522" s="63" t="s">
        <v>267</v>
      </c>
      <c r="M522">
        <v>2</v>
      </c>
    </row>
    <row r="523" spans="1:13" ht="16.5" thickBot="1" x14ac:dyDescent="0.3">
      <c r="A523" s="55" t="s">
        <v>1121</v>
      </c>
      <c r="B523" s="64" t="s">
        <v>265</v>
      </c>
      <c r="C523" s="64" t="s">
        <v>263</v>
      </c>
      <c r="D523" s="65" t="s">
        <v>264</v>
      </c>
      <c r="E523" s="58" t="s">
        <v>260</v>
      </c>
      <c r="F523" s="59" t="s">
        <v>269</v>
      </c>
      <c r="H523" s="55" t="s">
        <v>1121</v>
      </c>
      <c r="I523" s="61" t="s">
        <v>248</v>
      </c>
      <c r="J523" s="62" t="s">
        <v>249</v>
      </c>
      <c r="K523" s="62" t="s">
        <v>250</v>
      </c>
      <c r="L523" s="63" t="s">
        <v>269</v>
      </c>
      <c r="M523">
        <v>1</v>
      </c>
    </row>
    <row r="524" spans="1:13" ht="16.5" thickBot="1" x14ac:dyDescent="0.3">
      <c r="A524" s="55" t="s">
        <v>1122</v>
      </c>
      <c r="B524" s="74" t="s">
        <v>257</v>
      </c>
      <c r="C524" s="74" t="s">
        <v>258</v>
      </c>
      <c r="D524" s="75" t="s">
        <v>259</v>
      </c>
      <c r="E524" s="58" t="s">
        <v>260</v>
      </c>
      <c r="F524" s="59" t="s">
        <v>271</v>
      </c>
      <c r="H524" s="55" t="s">
        <v>1122</v>
      </c>
      <c r="I524" s="61" t="s">
        <v>248</v>
      </c>
      <c r="J524" s="62" t="s">
        <v>249</v>
      </c>
      <c r="K524" s="62" t="s">
        <v>250</v>
      </c>
      <c r="L524" s="67" t="s">
        <v>1370</v>
      </c>
      <c r="M524">
        <v>2</v>
      </c>
    </row>
    <row r="525" spans="1:13" ht="16.5" thickBot="1" x14ac:dyDescent="0.3">
      <c r="A525" s="55" t="s">
        <v>1123</v>
      </c>
      <c r="B525" s="64" t="s">
        <v>263</v>
      </c>
      <c r="C525" s="64" t="s">
        <v>264</v>
      </c>
      <c r="D525" s="65" t="s">
        <v>265</v>
      </c>
      <c r="E525" s="58" t="s">
        <v>260</v>
      </c>
      <c r="F525" s="59" t="s">
        <v>273</v>
      </c>
      <c r="H525" s="55" t="s">
        <v>1123</v>
      </c>
      <c r="I525" s="61" t="s">
        <v>250</v>
      </c>
      <c r="J525" s="62" t="s">
        <v>248</v>
      </c>
      <c r="K525" s="62" t="s">
        <v>249</v>
      </c>
      <c r="L525" s="63" t="s">
        <v>273</v>
      </c>
      <c r="M525">
        <v>1</v>
      </c>
    </row>
    <row r="526" spans="1:13" ht="16.5" thickBot="1" x14ac:dyDescent="0.3">
      <c r="A526" s="55" t="s">
        <v>1124</v>
      </c>
      <c r="B526" s="74" t="s">
        <v>258</v>
      </c>
      <c r="C526" s="74" t="s">
        <v>259</v>
      </c>
      <c r="D526" s="75" t="s">
        <v>257</v>
      </c>
      <c r="E526" s="58" t="s">
        <v>260</v>
      </c>
      <c r="F526" s="59" t="s">
        <v>275</v>
      </c>
      <c r="H526" s="55" t="s">
        <v>1124</v>
      </c>
      <c r="I526" s="61" t="s">
        <v>250</v>
      </c>
      <c r="J526" s="62" t="s">
        <v>248</v>
      </c>
      <c r="K526" s="62" t="s">
        <v>249</v>
      </c>
      <c r="L526" s="81" t="s">
        <v>1371</v>
      </c>
      <c r="M526">
        <v>2</v>
      </c>
    </row>
    <row r="527" spans="1:13" ht="16.5" thickBot="1" x14ac:dyDescent="0.3">
      <c r="A527" s="55" t="s">
        <v>1125</v>
      </c>
      <c r="B527" s="76" t="s">
        <v>264</v>
      </c>
      <c r="C527" s="76" t="s">
        <v>265</v>
      </c>
      <c r="D527" s="77" t="s">
        <v>263</v>
      </c>
      <c r="E527" s="58" t="s">
        <v>260</v>
      </c>
      <c r="F527" s="59" t="s">
        <v>261</v>
      </c>
      <c r="H527" s="55" t="s">
        <v>1125</v>
      </c>
      <c r="I527" s="79" t="s">
        <v>249</v>
      </c>
      <c r="J527" s="80" t="s">
        <v>250</v>
      </c>
      <c r="K527" s="80" t="s">
        <v>248</v>
      </c>
      <c r="L527" s="67" t="s">
        <v>261</v>
      </c>
      <c r="M527">
        <v>1</v>
      </c>
    </row>
    <row r="528" spans="1:13" ht="16.5" thickBot="1" x14ac:dyDescent="0.3">
      <c r="A528" s="55" t="s">
        <v>1126</v>
      </c>
      <c r="B528" s="74" t="s">
        <v>259</v>
      </c>
      <c r="C528" s="74" t="s">
        <v>257</v>
      </c>
      <c r="D528" s="75" t="s">
        <v>258</v>
      </c>
      <c r="E528" s="58" t="s">
        <v>260</v>
      </c>
      <c r="F528" s="59" t="s">
        <v>245</v>
      </c>
      <c r="H528" s="55" t="s">
        <v>1126</v>
      </c>
      <c r="I528" s="61" t="s">
        <v>249</v>
      </c>
      <c r="J528" s="62" t="s">
        <v>250</v>
      </c>
      <c r="K528" s="62" t="s">
        <v>248</v>
      </c>
      <c r="L528" s="63" t="s">
        <v>245</v>
      </c>
      <c r="M528">
        <v>1</v>
      </c>
    </row>
    <row r="529" spans="1:13" ht="16.5" thickBot="1" x14ac:dyDescent="0.3">
      <c r="A529" s="55" t="s">
        <v>1127</v>
      </c>
      <c r="B529" s="64" t="s">
        <v>265</v>
      </c>
      <c r="C529" s="64" t="s">
        <v>263</v>
      </c>
      <c r="D529" s="65" t="s">
        <v>264</v>
      </c>
      <c r="E529" s="58" t="s">
        <v>260</v>
      </c>
      <c r="F529" s="59" t="s">
        <v>267</v>
      </c>
      <c r="H529" s="55" t="s">
        <v>1127</v>
      </c>
      <c r="I529" s="61" t="s">
        <v>248</v>
      </c>
      <c r="J529" s="62" t="s">
        <v>249</v>
      </c>
      <c r="K529" s="62" t="s">
        <v>250</v>
      </c>
      <c r="L529" s="63" t="s">
        <v>267</v>
      </c>
      <c r="M529">
        <v>2</v>
      </c>
    </row>
    <row r="530" spans="1:13" ht="16.5" thickBot="1" x14ac:dyDescent="0.3">
      <c r="A530" s="55" t="s">
        <v>1128</v>
      </c>
      <c r="B530" s="74" t="s">
        <v>257</v>
      </c>
      <c r="C530" s="74" t="s">
        <v>258</v>
      </c>
      <c r="D530" s="75" t="s">
        <v>259</v>
      </c>
      <c r="E530" s="58" t="s">
        <v>260</v>
      </c>
      <c r="F530" s="59" t="s">
        <v>269</v>
      </c>
      <c r="H530" s="55" t="s">
        <v>1128</v>
      </c>
      <c r="I530" s="61" t="s">
        <v>248</v>
      </c>
      <c r="J530" s="62" t="s">
        <v>249</v>
      </c>
      <c r="K530" s="62" t="s">
        <v>250</v>
      </c>
      <c r="L530" s="67" t="s">
        <v>269</v>
      </c>
      <c r="M530">
        <v>1</v>
      </c>
    </row>
    <row r="531" spans="1:13" ht="16.5" thickBot="1" x14ac:dyDescent="0.3">
      <c r="A531" s="55" t="s">
        <v>1129</v>
      </c>
      <c r="B531" s="64" t="s">
        <v>263</v>
      </c>
      <c r="C531" s="64" t="s">
        <v>264</v>
      </c>
      <c r="D531" s="65" t="s">
        <v>265</v>
      </c>
      <c r="E531" s="58" t="s">
        <v>260</v>
      </c>
      <c r="F531" s="59" t="s">
        <v>271</v>
      </c>
      <c r="H531" s="55" t="s">
        <v>1129</v>
      </c>
      <c r="I531" s="61" t="s">
        <v>250</v>
      </c>
      <c r="J531" s="62" t="s">
        <v>248</v>
      </c>
      <c r="K531" s="62" t="s">
        <v>249</v>
      </c>
      <c r="L531" s="63" t="s">
        <v>1370</v>
      </c>
      <c r="M531">
        <v>2</v>
      </c>
    </row>
    <row r="532" spans="1:13" ht="16.5" thickBot="1" x14ac:dyDescent="0.3">
      <c r="A532" s="55" t="s">
        <v>1130</v>
      </c>
      <c r="B532" s="74" t="s">
        <v>258</v>
      </c>
      <c r="C532" s="74" t="s">
        <v>259</v>
      </c>
      <c r="D532" s="75" t="s">
        <v>257</v>
      </c>
      <c r="E532" s="58" t="s">
        <v>260</v>
      </c>
      <c r="F532" s="59" t="s">
        <v>273</v>
      </c>
      <c r="H532" s="55" t="s">
        <v>1130</v>
      </c>
      <c r="I532" s="61" t="s">
        <v>250</v>
      </c>
      <c r="J532" s="62" t="s">
        <v>248</v>
      </c>
      <c r="K532" s="62" t="s">
        <v>249</v>
      </c>
      <c r="L532" s="81" t="s">
        <v>273</v>
      </c>
      <c r="M532">
        <v>1</v>
      </c>
    </row>
    <row r="533" spans="1:13" ht="16.5" thickBot="1" x14ac:dyDescent="0.3">
      <c r="A533" s="55" t="s">
        <v>1131</v>
      </c>
      <c r="B533" s="76" t="s">
        <v>264</v>
      </c>
      <c r="C533" s="76" t="s">
        <v>265</v>
      </c>
      <c r="D533" s="77" t="s">
        <v>263</v>
      </c>
      <c r="E533" s="58" t="s">
        <v>260</v>
      </c>
      <c r="F533" s="59" t="s">
        <v>275</v>
      </c>
      <c r="H533" s="55" t="s">
        <v>1131</v>
      </c>
      <c r="I533" s="79" t="s">
        <v>249</v>
      </c>
      <c r="J533" s="80" t="s">
        <v>250</v>
      </c>
      <c r="K533" s="80" t="s">
        <v>248</v>
      </c>
      <c r="L533" s="67" t="s">
        <v>1371</v>
      </c>
      <c r="M533">
        <v>2</v>
      </c>
    </row>
    <row r="534" spans="1:13" ht="16.5" thickBot="1" x14ac:dyDescent="0.3">
      <c r="A534" s="55" t="s">
        <v>1132</v>
      </c>
      <c r="B534" s="74" t="s">
        <v>259</v>
      </c>
      <c r="C534" s="74" t="s">
        <v>257</v>
      </c>
      <c r="D534" s="75" t="s">
        <v>258</v>
      </c>
      <c r="E534" s="58" t="s">
        <v>260</v>
      </c>
      <c r="F534" s="59" t="s">
        <v>261</v>
      </c>
      <c r="H534" s="55" t="s">
        <v>1132</v>
      </c>
      <c r="I534" s="61" t="s">
        <v>249</v>
      </c>
      <c r="J534" s="62" t="s">
        <v>250</v>
      </c>
      <c r="K534" s="62" t="s">
        <v>248</v>
      </c>
      <c r="L534" s="63" t="s">
        <v>261</v>
      </c>
      <c r="M534">
        <v>1</v>
      </c>
    </row>
    <row r="535" spans="1:13" ht="16.5" thickBot="1" x14ac:dyDescent="0.3">
      <c r="A535" s="55" t="s">
        <v>1133</v>
      </c>
      <c r="B535" s="64" t="s">
        <v>265</v>
      </c>
      <c r="C535" s="64" t="s">
        <v>263</v>
      </c>
      <c r="D535" s="65" t="s">
        <v>264</v>
      </c>
      <c r="E535" s="58" t="s">
        <v>260</v>
      </c>
      <c r="F535" s="59" t="s">
        <v>245</v>
      </c>
      <c r="H535" s="55" t="s">
        <v>1133</v>
      </c>
      <c r="I535" s="61" t="s">
        <v>248</v>
      </c>
      <c r="J535" s="62" t="s">
        <v>249</v>
      </c>
      <c r="K535" s="62" t="s">
        <v>250</v>
      </c>
      <c r="L535" s="63" t="s">
        <v>245</v>
      </c>
      <c r="M535">
        <v>1</v>
      </c>
    </row>
    <row r="536" spans="1:13" ht="16.5" thickBot="1" x14ac:dyDescent="0.3">
      <c r="A536" s="55" t="s">
        <v>1134</v>
      </c>
      <c r="B536" s="74" t="s">
        <v>257</v>
      </c>
      <c r="C536" s="74" t="s">
        <v>258</v>
      </c>
      <c r="D536" s="75" t="s">
        <v>259</v>
      </c>
      <c r="E536" s="58" t="s">
        <v>260</v>
      </c>
      <c r="F536" s="59" t="s">
        <v>267</v>
      </c>
      <c r="H536" s="55" t="s">
        <v>1134</v>
      </c>
      <c r="I536" s="61" t="s">
        <v>248</v>
      </c>
      <c r="J536" s="62" t="s">
        <v>249</v>
      </c>
      <c r="K536" s="62" t="s">
        <v>250</v>
      </c>
      <c r="L536" s="67" t="s">
        <v>267</v>
      </c>
      <c r="M536">
        <v>2</v>
      </c>
    </row>
    <row r="537" spans="1:13" ht="16.5" thickBot="1" x14ac:dyDescent="0.3">
      <c r="A537" s="55" t="s">
        <v>1135</v>
      </c>
      <c r="B537" s="64" t="s">
        <v>263</v>
      </c>
      <c r="C537" s="64" t="s">
        <v>264</v>
      </c>
      <c r="D537" s="65" t="s">
        <v>265</v>
      </c>
      <c r="E537" s="58" t="s">
        <v>260</v>
      </c>
      <c r="F537" s="59" t="s">
        <v>269</v>
      </c>
      <c r="H537" s="55" t="s">
        <v>1135</v>
      </c>
      <c r="I537" s="61" t="s">
        <v>250</v>
      </c>
      <c r="J537" s="62" t="s">
        <v>248</v>
      </c>
      <c r="K537" s="62" t="s">
        <v>249</v>
      </c>
      <c r="L537" s="63" t="s">
        <v>269</v>
      </c>
      <c r="M537">
        <v>1</v>
      </c>
    </row>
    <row r="538" spans="1:13" ht="16.5" thickBot="1" x14ac:dyDescent="0.3">
      <c r="A538" s="55" t="s">
        <v>1136</v>
      </c>
      <c r="B538" s="74" t="s">
        <v>258</v>
      </c>
      <c r="C538" s="74" t="s">
        <v>259</v>
      </c>
      <c r="D538" s="75" t="s">
        <v>257</v>
      </c>
      <c r="E538" s="58" t="s">
        <v>260</v>
      </c>
      <c r="F538" s="59" t="s">
        <v>271</v>
      </c>
      <c r="H538" s="55" t="s">
        <v>1136</v>
      </c>
      <c r="I538" s="61" t="s">
        <v>250</v>
      </c>
      <c r="J538" s="62" t="s">
        <v>248</v>
      </c>
      <c r="K538" s="62" t="s">
        <v>249</v>
      </c>
      <c r="L538" s="81" t="s">
        <v>1370</v>
      </c>
      <c r="M538">
        <v>2</v>
      </c>
    </row>
    <row r="539" spans="1:13" ht="16.5" thickBot="1" x14ac:dyDescent="0.3">
      <c r="A539" s="55" t="s">
        <v>1137</v>
      </c>
      <c r="B539" s="76" t="s">
        <v>264</v>
      </c>
      <c r="C539" s="76" t="s">
        <v>265</v>
      </c>
      <c r="D539" s="77" t="s">
        <v>263</v>
      </c>
      <c r="E539" s="58" t="s">
        <v>260</v>
      </c>
      <c r="F539" s="59" t="s">
        <v>273</v>
      </c>
      <c r="H539" s="55" t="s">
        <v>1137</v>
      </c>
      <c r="I539" s="79" t="s">
        <v>249</v>
      </c>
      <c r="J539" s="80" t="s">
        <v>250</v>
      </c>
      <c r="K539" s="80" t="s">
        <v>248</v>
      </c>
      <c r="L539" s="67" t="s">
        <v>273</v>
      </c>
      <c r="M539">
        <v>1</v>
      </c>
    </row>
    <row r="540" spans="1:13" ht="16.5" thickBot="1" x14ac:dyDescent="0.3">
      <c r="A540" s="55" t="s">
        <v>1138</v>
      </c>
      <c r="B540" s="74" t="s">
        <v>259</v>
      </c>
      <c r="C540" s="74" t="s">
        <v>257</v>
      </c>
      <c r="D540" s="75" t="s">
        <v>258</v>
      </c>
      <c r="E540" s="58" t="s">
        <v>260</v>
      </c>
      <c r="F540" s="59" t="s">
        <v>275</v>
      </c>
      <c r="H540" s="55" t="s">
        <v>1138</v>
      </c>
      <c r="I540" s="61" t="s">
        <v>249</v>
      </c>
      <c r="J540" s="62" t="s">
        <v>250</v>
      </c>
      <c r="K540" s="62" t="s">
        <v>248</v>
      </c>
      <c r="L540" s="63" t="s">
        <v>1371</v>
      </c>
      <c r="M540">
        <v>2</v>
      </c>
    </row>
    <row r="541" spans="1:13" ht="16.5" thickBot="1" x14ac:dyDescent="0.3">
      <c r="A541" s="55" t="s">
        <v>1139</v>
      </c>
      <c r="B541" s="64" t="s">
        <v>265</v>
      </c>
      <c r="C541" s="64" t="s">
        <v>263</v>
      </c>
      <c r="D541" s="65" t="s">
        <v>264</v>
      </c>
      <c r="E541" s="58" t="s">
        <v>260</v>
      </c>
      <c r="F541" s="59" t="s">
        <v>261</v>
      </c>
      <c r="H541" s="55" t="s">
        <v>1139</v>
      </c>
      <c r="I541" s="61" t="s">
        <v>248</v>
      </c>
      <c r="J541" s="62" t="s">
        <v>249</v>
      </c>
      <c r="K541" s="62" t="s">
        <v>250</v>
      </c>
      <c r="L541" s="63" t="s">
        <v>261</v>
      </c>
      <c r="M541">
        <v>1</v>
      </c>
    </row>
    <row r="542" spans="1:13" ht="16.5" thickBot="1" x14ac:dyDescent="0.3">
      <c r="A542" s="55" t="s">
        <v>1140</v>
      </c>
      <c r="B542" s="74" t="s">
        <v>257</v>
      </c>
      <c r="C542" s="74" t="s">
        <v>258</v>
      </c>
      <c r="D542" s="75" t="s">
        <v>259</v>
      </c>
      <c r="E542" s="58" t="s">
        <v>260</v>
      </c>
      <c r="F542" s="59" t="s">
        <v>245</v>
      </c>
      <c r="H542" s="55" t="s">
        <v>1140</v>
      </c>
      <c r="I542" s="61" t="s">
        <v>248</v>
      </c>
      <c r="J542" s="62" t="s">
        <v>249</v>
      </c>
      <c r="K542" s="62" t="s">
        <v>250</v>
      </c>
      <c r="L542" s="67" t="s">
        <v>245</v>
      </c>
      <c r="M542">
        <v>1</v>
      </c>
    </row>
    <row r="543" spans="1:13" ht="16.5" thickBot="1" x14ac:dyDescent="0.3">
      <c r="A543" s="55" t="s">
        <v>1141</v>
      </c>
      <c r="B543" s="64" t="s">
        <v>263</v>
      </c>
      <c r="C543" s="64" t="s">
        <v>264</v>
      </c>
      <c r="D543" s="65" t="s">
        <v>265</v>
      </c>
      <c r="E543" s="58" t="s">
        <v>260</v>
      </c>
      <c r="F543" s="59" t="s">
        <v>267</v>
      </c>
      <c r="H543" s="55" t="s">
        <v>1141</v>
      </c>
      <c r="I543" s="61" t="s">
        <v>250</v>
      </c>
      <c r="J543" s="62" t="s">
        <v>248</v>
      </c>
      <c r="K543" s="62" t="s">
        <v>249</v>
      </c>
      <c r="L543" s="63" t="s">
        <v>267</v>
      </c>
      <c r="M543">
        <v>2</v>
      </c>
    </row>
    <row r="544" spans="1:13" ht="16.5" thickBot="1" x14ac:dyDescent="0.3">
      <c r="A544" s="55" t="s">
        <v>1142</v>
      </c>
      <c r="B544" s="74" t="s">
        <v>258</v>
      </c>
      <c r="C544" s="74" t="s">
        <v>259</v>
      </c>
      <c r="D544" s="75" t="s">
        <v>257</v>
      </c>
      <c r="E544" s="58" t="s">
        <v>260</v>
      </c>
      <c r="F544" s="59" t="s">
        <v>269</v>
      </c>
      <c r="H544" s="55" t="s">
        <v>1142</v>
      </c>
      <c r="I544" s="61" t="s">
        <v>250</v>
      </c>
      <c r="J544" s="62" t="s">
        <v>248</v>
      </c>
      <c r="K544" s="62" t="s">
        <v>249</v>
      </c>
      <c r="L544" s="81" t="s">
        <v>269</v>
      </c>
      <c r="M544">
        <v>1</v>
      </c>
    </row>
    <row r="545" spans="1:13" ht="16.5" thickBot="1" x14ac:dyDescent="0.3">
      <c r="A545" s="55" t="s">
        <v>1143</v>
      </c>
      <c r="B545" s="76" t="s">
        <v>264</v>
      </c>
      <c r="C545" s="76" t="s">
        <v>265</v>
      </c>
      <c r="D545" s="77" t="s">
        <v>263</v>
      </c>
      <c r="E545" s="58" t="s">
        <v>260</v>
      </c>
      <c r="F545" s="59" t="s">
        <v>271</v>
      </c>
      <c r="H545" s="55" t="s">
        <v>1143</v>
      </c>
      <c r="I545" s="79" t="s">
        <v>249</v>
      </c>
      <c r="J545" s="80" t="s">
        <v>250</v>
      </c>
      <c r="K545" s="80" t="s">
        <v>248</v>
      </c>
      <c r="L545" s="67" t="s">
        <v>1370</v>
      </c>
      <c r="M545">
        <v>2</v>
      </c>
    </row>
    <row r="546" spans="1:13" ht="16.5" thickBot="1" x14ac:dyDescent="0.3">
      <c r="A546" s="55" t="s">
        <v>1144</v>
      </c>
      <c r="B546" s="74" t="s">
        <v>259</v>
      </c>
      <c r="C546" s="74" t="s">
        <v>257</v>
      </c>
      <c r="D546" s="75" t="s">
        <v>258</v>
      </c>
      <c r="E546" s="58" t="s">
        <v>260</v>
      </c>
      <c r="F546" s="59" t="s">
        <v>273</v>
      </c>
      <c r="H546" s="55" t="s">
        <v>1144</v>
      </c>
      <c r="I546" s="61" t="s">
        <v>249</v>
      </c>
      <c r="J546" s="62" t="s">
        <v>250</v>
      </c>
      <c r="K546" s="62" t="s">
        <v>248</v>
      </c>
      <c r="L546" s="63" t="s">
        <v>273</v>
      </c>
      <c r="M546">
        <v>1</v>
      </c>
    </row>
    <row r="547" spans="1:13" ht="16.5" thickBot="1" x14ac:dyDescent="0.3">
      <c r="A547" s="55" t="s">
        <v>1145</v>
      </c>
      <c r="B547" s="64" t="s">
        <v>265</v>
      </c>
      <c r="C547" s="64" t="s">
        <v>263</v>
      </c>
      <c r="D547" s="65" t="s">
        <v>264</v>
      </c>
      <c r="E547" s="58" t="s">
        <v>260</v>
      </c>
      <c r="F547" s="59" t="s">
        <v>275</v>
      </c>
      <c r="H547" s="55" t="s">
        <v>1145</v>
      </c>
      <c r="I547" s="61" t="s">
        <v>248</v>
      </c>
      <c r="J547" s="62" t="s">
        <v>249</v>
      </c>
      <c r="K547" s="62" t="s">
        <v>250</v>
      </c>
      <c r="L547" s="63" t="s">
        <v>1371</v>
      </c>
      <c r="M547">
        <v>2</v>
      </c>
    </row>
    <row r="548" spans="1:13" ht="16.5" thickBot="1" x14ac:dyDescent="0.3">
      <c r="A548" s="55" t="s">
        <v>1146</v>
      </c>
      <c r="B548" s="74" t="s">
        <v>257</v>
      </c>
      <c r="C548" s="74" t="s">
        <v>258</v>
      </c>
      <c r="D548" s="75" t="s">
        <v>259</v>
      </c>
      <c r="E548" s="58" t="s">
        <v>260</v>
      </c>
      <c r="F548" s="59" t="s">
        <v>261</v>
      </c>
      <c r="H548" s="55" t="s">
        <v>1146</v>
      </c>
      <c r="I548" s="61" t="s">
        <v>248</v>
      </c>
      <c r="J548" s="62" t="s">
        <v>249</v>
      </c>
      <c r="K548" s="62" t="s">
        <v>250</v>
      </c>
      <c r="L548" s="67" t="s">
        <v>261</v>
      </c>
      <c r="M548">
        <v>1</v>
      </c>
    </row>
    <row r="549" spans="1:13" ht="16.5" thickBot="1" x14ac:dyDescent="0.3">
      <c r="A549" s="55" t="s">
        <v>1147</v>
      </c>
      <c r="B549" s="64" t="s">
        <v>263</v>
      </c>
      <c r="C549" s="64" t="s">
        <v>264</v>
      </c>
      <c r="D549" s="65" t="s">
        <v>265</v>
      </c>
      <c r="E549" s="58" t="s">
        <v>260</v>
      </c>
      <c r="F549" s="59" t="s">
        <v>245</v>
      </c>
      <c r="H549" s="55" t="s">
        <v>1147</v>
      </c>
      <c r="I549" s="61" t="s">
        <v>250</v>
      </c>
      <c r="J549" s="62" t="s">
        <v>248</v>
      </c>
      <c r="K549" s="62" t="s">
        <v>249</v>
      </c>
      <c r="L549" s="63" t="s">
        <v>245</v>
      </c>
      <c r="M549">
        <v>1</v>
      </c>
    </row>
    <row r="550" spans="1:13" ht="16.5" thickBot="1" x14ac:dyDescent="0.3">
      <c r="A550" s="55" t="s">
        <v>1148</v>
      </c>
      <c r="B550" s="74" t="s">
        <v>258</v>
      </c>
      <c r="C550" s="74" t="s">
        <v>259</v>
      </c>
      <c r="D550" s="75" t="s">
        <v>257</v>
      </c>
      <c r="E550" s="58" t="s">
        <v>260</v>
      </c>
      <c r="F550" s="59" t="s">
        <v>267</v>
      </c>
      <c r="H550" s="55" t="s">
        <v>1148</v>
      </c>
      <c r="I550" s="61" t="s">
        <v>250</v>
      </c>
      <c r="J550" s="62" t="s">
        <v>248</v>
      </c>
      <c r="K550" s="62" t="s">
        <v>249</v>
      </c>
      <c r="L550" s="81" t="s">
        <v>267</v>
      </c>
      <c r="M550">
        <v>2</v>
      </c>
    </row>
    <row r="551" spans="1:13" ht="16.5" thickBot="1" x14ac:dyDescent="0.3">
      <c r="A551" s="55" t="s">
        <v>1149</v>
      </c>
      <c r="B551" s="76" t="s">
        <v>264</v>
      </c>
      <c r="C551" s="76" t="s">
        <v>265</v>
      </c>
      <c r="D551" s="77" t="s">
        <v>263</v>
      </c>
      <c r="E551" s="58" t="s">
        <v>260</v>
      </c>
      <c r="F551" s="59" t="s">
        <v>269</v>
      </c>
      <c r="H551" s="55" t="s">
        <v>1149</v>
      </c>
      <c r="I551" s="79" t="s">
        <v>249</v>
      </c>
      <c r="J551" s="80" t="s">
        <v>250</v>
      </c>
      <c r="K551" s="80" t="s">
        <v>248</v>
      </c>
      <c r="L551" s="67" t="s">
        <v>269</v>
      </c>
      <c r="M551">
        <v>1</v>
      </c>
    </row>
    <row r="552" spans="1:13" ht="16.5" thickBot="1" x14ac:dyDescent="0.3">
      <c r="A552" s="55" t="s">
        <v>1150</v>
      </c>
      <c r="B552" s="74" t="s">
        <v>259</v>
      </c>
      <c r="C552" s="74" t="s">
        <v>257</v>
      </c>
      <c r="D552" s="75" t="s">
        <v>258</v>
      </c>
      <c r="E552" s="58" t="s">
        <v>260</v>
      </c>
      <c r="F552" s="59" t="s">
        <v>271</v>
      </c>
      <c r="H552" s="55" t="s">
        <v>1150</v>
      </c>
      <c r="I552" s="61" t="s">
        <v>249</v>
      </c>
      <c r="J552" s="62" t="s">
        <v>250</v>
      </c>
      <c r="K552" s="62" t="s">
        <v>248</v>
      </c>
      <c r="L552" s="63" t="s">
        <v>1370</v>
      </c>
      <c r="M552">
        <v>2</v>
      </c>
    </row>
    <row r="553" spans="1:13" ht="16.5" thickBot="1" x14ac:dyDescent="0.3">
      <c r="A553" s="55" t="s">
        <v>1151</v>
      </c>
      <c r="B553" s="64" t="s">
        <v>265</v>
      </c>
      <c r="C553" s="64" t="s">
        <v>263</v>
      </c>
      <c r="D553" s="65" t="s">
        <v>264</v>
      </c>
      <c r="E553" s="58" t="s">
        <v>260</v>
      </c>
      <c r="F553" s="59" t="s">
        <v>273</v>
      </c>
      <c r="H553" s="55" t="s">
        <v>1151</v>
      </c>
      <c r="I553" s="61" t="s">
        <v>248</v>
      </c>
      <c r="J553" s="62" t="s">
        <v>249</v>
      </c>
      <c r="K553" s="62" t="s">
        <v>250</v>
      </c>
      <c r="L553" s="63" t="s">
        <v>273</v>
      </c>
      <c r="M553">
        <v>1</v>
      </c>
    </row>
    <row r="554" spans="1:13" ht="16.5" thickBot="1" x14ac:dyDescent="0.3">
      <c r="A554" s="55" t="s">
        <v>1152</v>
      </c>
      <c r="B554" s="74" t="s">
        <v>257</v>
      </c>
      <c r="C554" s="74" t="s">
        <v>258</v>
      </c>
      <c r="D554" s="75" t="s">
        <v>259</v>
      </c>
      <c r="E554" s="58" t="s">
        <v>260</v>
      </c>
      <c r="F554" s="59" t="s">
        <v>275</v>
      </c>
      <c r="H554" s="55" t="s">
        <v>1152</v>
      </c>
      <c r="I554" s="61" t="s">
        <v>248</v>
      </c>
      <c r="J554" s="62" t="s">
        <v>249</v>
      </c>
      <c r="K554" s="62" t="s">
        <v>250</v>
      </c>
      <c r="L554" s="67" t="s">
        <v>1371</v>
      </c>
      <c r="M554">
        <v>2</v>
      </c>
    </row>
    <row r="555" spans="1:13" ht="16.5" thickBot="1" x14ac:dyDescent="0.3">
      <c r="A555" s="55" t="s">
        <v>1153</v>
      </c>
      <c r="B555" s="64" t="s">
        <v>263</v>
      </c>
      <c r="C555" s="64" t="s">
        <v>264</v>
      </c>
      <c r="D555" s="65" t="s">
        <v>265</v>
      </c>
      <c r="E555" s="58" t="s">
        <v>260</v>
      </c>
      <c r="F555" s="59" t="s">
        <v>261</v>
      </c>
      <c r="H555" s="55" t="s">
        <v>1153</v>
      </c>
      <c r="I555" s="61" t="s">
        <v>250</v>
      </c>
      <c r="J555" s="62" t="s">
        <v>248</v>
      </c>
      <c r="K555" s="62" t="s">
        <v>249</v>
      </c>
      <c r="L555" s="63" t="s">
        <v>261</v>
      </c>
      <c r="M555">
        <v>1</v>
      </c>
    </row>
    <row r="556" spans="1:13" ht="16.5" thickBot="1" x14ac:dyDescent="0.3">
      <c r="A556" s="55" t="s">
        <v>1154</v>
      </c>
      <c r="B556" s="74" t="s">
        <v>258</v>
      </c>
      <c r="C556" s="74" t="s">
        <v>259</v>
      </c>
      <c r="D556" s="75" t="s">
        <v>257</v>
      </c>
      <c r="E556" s="58" t="s">
        <v>260</v>
      </c>
      <c r="F556" s="59" t="s">
        <v>245</v>
      </c>
      <c r="H556" s="55" t="s">
        <v>1154</v>
      </c>
      <c r="I556" s="61" t="s">
        <v>250</v>
      </c>
      <c r="J556" s="62" t="s">
        <v>248</v>
      </c>
      <c r="K556" s="62" t="s">
        <v>249</v>
      </c>
      <c r="L556" s="81" t="s">
        <v>245</v>
      </c>
      <c r="M556">
        <v>1</v>
      </c>
    </row>
    <row r="557" spans="1:13" ht="16.5" thickBot="1" x14ac:dyDescent="0.3">
      <c r="A557" s="55" t="s">
        <v>1155</v>
      </c>
      <c r="B557" s="76" t="s">
        <v>264</v>
      </c>
      <c r="C557" s="76" t="s">
        <v>265</v>
      </c>
      <c r="D557" s="77" t="s">
        <v>263</v>
      </c>
      <c r="E557" s="58" t="s">
        <v>260</v>
      </c>
      <c r="F557" s="59" t="s">
        <v>267</v>
      </c>
      <c r="H557" s="55" t="s">
        <v>1155</v>
      </c>
      <c r="I557" s="79" t="s">
        <v>249</v>
      </c>
      <c r="J557" s="80" t="s">
        <v>250</v>
      </c>
      <c r="K557" s="80" t="s">
        <v>248</v>
      </c>
      <c r="L557" s="67" t="s">
        <v>267</v>
      </c>
      <c r="M557">
        <v>2</v>
      </c>
    </row>
    <row r="558" spans="1:13" ht="16.5" thickBot="1" x14ac:dyDescent="0.3">
      <c r="A558" s="55" t="s">
        <v>1156</v>
      </c>
      <c r="B558" s="74" t="s">
        <v>259</v>
      </c>
      <c r="C558" s="74" t="s">
        <v>257</v>
      </c>
      <c r="D558" s="75" t="s">
        <v>258</v>
      </c>
      <c r="E558" s="58" t="s">
        <v>260</v>
      </c>
      <c r="F558" s="59" t="s">
        <v>269</v>
      </c>
      <c r="H558" s="55" t="s">
        <v>1156</v>
      </c>
      <c r="I558" s="61" t="s">
        <v>249</v>
      </c>
      <c r="J558" s="62" t="s">
        <v>250</v>
      </c>
      <c r="K558" s="62" t="s">
        <v>248</v>
      </c>
      <c r="L558" s="63" t="s">
        <v>269</v>
      </c>
      <c r="M558">
        <v>1</v>
      </c>
    </row>
    <row r="559" spans="1:13" ht="16.5" thickBot="1" x14ac:dyDescent="0.3">
      <c r="A559" s="55" t="s">
        <v>1157</v>
      </c>
      <c r="B559" s="64" t="s">
        <v>265</v>
      </c>
      <c r="C559" s="64" t="s">
        <v>263</v>
      </c>
      <c r="D559" s="65" t="s">
        <v>264</v>
      </c>
      <c r="E559" s="58" t="s">
        <v>260</v>
      </c>
      <c r="F559" s="59" t="s">
        <v>271</v>
      </c>
      <c r="H559" s="55" t="s">
        <v>1157</v>
      </c>
      <c r="I559" s="61" t="s">
        <v>248</v>
      </c>
      <c r="J559" s="62" t="s">
        <v>249</v>
      </c>
      <c r="K559" s="62" t="s">
        <v>250</v>
      </c>
      <c r="L559" s="63" t="s">
        <v>1370</v>
      </c>
      <c r="M559">
        <v>2</v>
      </c>
    </row>
    <row r="560" spans="1:13" ht="16.5" thickBot="1" x14ac:dyDescent="0.3">
      <c r="A560" s="55" t="s">
        <v>1158</v>
      </c>
      <c r="B560" s="74" t="s">
        <v>257</v>
      </c>
      <c r="C560" s="74" t="s">
        <v>258</v>
      </c>
      <c r="D560" s="75" t="s">
        <v>259</v>
      </c>
      <c r="E560" s="58" t="s">
        <v>260</v>
      </c>
      <c r="F560" s="59" t="s">
        <v>273</v>
      </c>
      <c r="H560" s="55" t="s">
        <v>1158</v>
      </c>
      <c r="I560" s="61" t="s">
        <v>248</v>
      </c>
      <c r="J560" s="62" t="s">
        <v>249</v>
      </c>
      <c r="K560" s="62" t="s">
        <v>250</v>
      </c>
      <c r="L560" s="67" t="s">
        <v>273</v>
      </c>
      <c r="M560">
        <v>1</v>
      </c>
    </row>
    <row r="561" spans="1:13" ht="16.5" thickBot="1" x14ac:dyDescent="0.3">
      <c r="A561" s="55" t="s">
        <v>1159</v>
      </c>
      <c r="B561" s="64" t="s">
        <v>263</v>
      </c>
      <c r="C561" s="64" t="s">
        <v>264</v>
      </c>
      <c r="D561" s="65" t="s">
        <v>265</v>
      </c>
      <c r="E561" s="58" t="s">
        <v>260</v>
      </c>
      <c r="F561" s="59" t="s">
        <v>275</v>
      </c>
      <c r="H561" s="55" t="s">
        <v>1159</v>
      </c>
      <c r="I561" s="61" t="s">
        <v>250</v>
      </c>
      <c r="J561" s="62" t="s">
        <v>248</v>
      </c>
      <c r="K561" s="62" t="s">
        <v>249</v>
      </c>
      <c r="L561" s="63" t="s">
        <v>1371</v>
      </c>
      <c r="M561">
        <v>2</v>
      </c>
    </row>
    <row r="562" spans="1:13" ht="16.5" thickBot="1" x14ac:dyDescent="0.3">
      <c r="A562" s="55" t="s">
        <v>1160</v>
      </c>
      <c r="B562" s="74" t="s">
        <v>258</v>
      </c>
      <c r="C562" s="74" t="s">
        <v>259</v>
      </c>
      <c r="D562" s="75" t="s">
        <v>257</v>
      </c>
      <c r="E562" s="58" t="s">
        <v>260</v>
      </c>
      <c r="F562" s="59" t="s">
        <v>261</v>
      </c>
      <c r="H562" s="55" t="s">
        <v>1160</v>
      </c>
      <c r="I562" s="61" t="s">
        <v>250</v>
      </c>
      <c r="J562" s="62" t="s">
        <v>248</v>
      </c>
      <c r="K562" s="62" t="s">
        <v>249</v>
      </c>
      <c r="L562" s="81" t="s">
        <v>261</v>
      </c>
      <c r="M562">
        <v>1</v>
      </c>
    </row>
    <row r="563" spans="1:13" ht="16.5" thickBot="1" x14ac:dyDescent="0.3">
      <c r="A563" s="55" t="s">
        <v>1161</v>
      </c>
      <c r="B563" s="76" t="s">
        <v>264</v>
      </c>
      <c r="C563" s="76" t="s">
        <v>265</v>
      </c>
      <c r="D563" s="77" t="s">
        <v>263</v>
      </c>
      <c r="E563" s="58" t="s">
        <v>260</v>
      </c>
      <c r="F563" s="59" t="s">
        <v>245</v>
      </c>
      <c r="H563" s="55" t="s">
        <v>1161</v>
      </c>
      <c r="I563" s="79" t="s">
        <v>249</v>
      </c>
      <c r="J563" s="80" t="s">
        <v>250</v>
      </c>
      <c r="K563" s="80" t="s">
        <v>248</v>
      </c>
      <c r="L563" s="67" t="s">
        <v>245</v>
      </c>
      <c r="M563">
        <v>1</v>
      </c>
    </row>
    <row r="564" spans="1:13" ht="16.5" thickBot="1" x14ac:dyDescent="0.3">
      <c r="A564" s="55" t="s">
        <v>1162</v>
      </c>
      <c r="B564" s="74" t="s">
        <v>259</v>
      </c>
      <c r="C564" s="74" t="s">
        <v>257</v>
      </c>
      <c r="D564" s="75" t="s">
        <v>258</v>
      </c>
      <c r="E564" s="58" t="s">
        <v>260</v>
      </c>
      <c r="F564" s="59" t="s">
        <v>267</v>
      </c>
      <c r="H564" s="55" t="s">
        <v>1162</v>
      </c>
      <c r="I564" s="61" t="s">
        <v>249</v>
      </c>
      <c r="J564" s="62" t="s">
        <v>250</v>
      </c>
      <c r="K564" s="62" t="s">
        <v>248</v>
      </c>
      <c r="L564" s="63" t="s">
        <v>267</v>
      </c>
      <c r="M564">
        <v>2</v>
      </c>
    </row>
    <row r="565" spans="1:13" ht="16.5" thickBot="1" x14ac:dyDescent="0.3">
      <c r="A565" s="55" t="s">
        <v>1163</v>
      </c>
      <c r="B565" s="64" t="s">
        <v>265</v>
      </c>
      <c r="C565" s="64" t="s">
        <v>263</v>
      </c>
      <c r="D565" s="65" t="s">
        <v>264</v>
      </c>
      <c r="E565" s="58" t="s">
        <v>260</v>
      </c>
      <c r="F565" s="59" t="s">
        <v>269</v>
      </c>
      <c r="H565" s="55" t="s">
        <v>1163</v>
      </c>
      <c r="I565" s="61" t="s">
        <v>248</v>
      </c>
      <c r="J565" s="62" t="s">
        <v>249</v>
      </c>
      <c r="K565" s="62" t="s">
        <v>250</v>
      </c>
      <c r="L565" s="63" t="s">
        <v>269</v>
      </c>
      <c r="M565">
        <v>1</v>
      </c>
    </row>
    <row r="566" spans="1:13" ht="16.5" thickBot="1" x14ac:dyDescent="0.3">
      <c r="A566" s="55" t="s">
        <v>1164</v>
      </c>
      <c r="B566" s="74" t="s">
        <v>257</v>
      </c>
      <c r="C566" s="74" t="s">
        <v>258</v>
      </c>
      <c r="D566" s="75" t="s">
        <v>259</v>
      </c>
      <c r="E566" s="58" t="s">
        <v>260</v>
      </c>
      <c r="F566" s="59" t="s">
        <v>271</v>
      </c>
      <c r="H566" s="55" t="s">
        <v>1164</v>
      </c>
      <c r="I566" s="61" t="s">
        <v>248</v>
      </c>
      <c r="J566" s="62" t="s">
        <v>249</v>
      </c>
      <c r="K566" s="62" t="s">
        <v>250</v>
      </c>
      <c r="L566" s="67" t="s">
        <v>1370</v>
      </c>
      <c r="M566">
        <v>2</v>
      </c>
    </row>
    <row r="567" spans="1:13" ht="16.5" thickBot="1" x14ac:dyDescent="0.3">
      <c r="A567" s="55" t="s">
        <v>1165</v>
      </c>
      <c r="B567" s="64" t="s">
        <v>263</v>
      </c>
      <c r="C567" s="64" t="s">
        <v>264</v>
      </c>
      <c r="D567" s="65" t="s">
        <v>265</v>
      </c>
      <c r="E567" s="58" t="s">
        <v>260</v>
      </c>
      <c r="F567" s="59" t="s">
        <v>273</v>
      </c>
      <c r="H567" s="55" t="s">
        <v>1165</v>
      </c>
      <c r="I567" s="61" t="s">
        <v>250</v>
      </c>
      <c r="J567" s="62" t="s">
        <v>248</v>
      </c>
      <c r="K567" s="62" t="s">
        <v>249</v>
      </c>
      <c r="L567" s="63" t="s">
        <v>273</v>
      </c>
      <c r="M567">
        <v>1</v>
      </c>
    </row>
    <row r="568" spans="1:13" ht="16.5" thickBot="1" x14ac:dyDescent="0.3">
      <c r="A568" s="55" t="s">
        <v>1166</v>
      </c>
      <c r="B568" s="74" t="s">
        <v>258</v>
      </c>
      <c r="C568" s="74" t="s">
        <v>259</v>
      </c>
      <c r="D568" s="75" t="s">
        <v>257</v>
      </c>
      <c r="E568" s="58" t="s">
        <v>260</v>
      </c>
      <c r="F568" s="59" t="s">
        <v>275</v>
      </c>
      <c r="H568" s="55" t="s">
        <v>1166</v>
      </c>
      <c r="I568" s="61" t="s">
        <v>250</v>
      </c>
      <c r="J568" s="62" t="s">
        <v>248</v>
      </c>
      <c r="K568" s="62" t="s">
        <v>249</v>
      </c>
      <c r="L568" s="81" t="s">
        <v>1371</v>
      </c>
      <c r="M568">
        <v>2</v>
      </c>
    </row>
    <row r="569" spans="1:13" ht="16.5" thickBot="1" x14ac:dyDescent="0.3">
      <c r="A569" s="55" t="s">
        <v>1167</v>
      </c>
      <c r="B569" s="76" t="s">
        <v>264</v>
      </c>
      <c r="C569" s="76" t="s">
        <v>265</v>
      </c>
      <c r="D569" s="77" t="s">
        <v>263</v>
      </c>
      <c r="E569" s="58" t="s">
        <v>260</v>
      </c>
      <c r="F569" s="59" t="s">
        <v>261</v>
      </c>
      <c r="H569" s="55" t="s">
        <v>1167</v>
      </c>
      <c r="I569" s="79" t="s">
        <v>249</v>
      </c>
      <c r="J569" s="80" t="s">
        <v>250</v>
      </c>
      <c r="K569" s="80" t="s">
        <v>248</v>
      </c>
      <c r="L569" s="67" t="s">
        <v>261</v>
      </c>
      <c r="M569">
        <v>1</v>
      </c>
    </row>
    <row r="570" spans="1:13" ht="16.5" thickBot="1" x14ac:dyDescent="0.3">
      <c r="A570" s="55" t="s">
        <v>1168</v>
      </c>
      <c r="B570" s="74" t="s">
        <v>259</v>
      </c>
      <c r="C570" s="74" t="s">
        <v>257</v>
      </c>
      <c r="D570" s="75" t="s">
        <v>258</v>
      </c>
      <c r="E570" s="58" t="s">
        <v>260</v>
      </c>
      <c r="F570" s="59" t="s">
        <v>245</v>
      </c>
      <c r="H570" s="55" t="s">
        <v>1168</v>
      </c>
      <c r="I570" s="61" t="s">
        <v>249</v>
      </c>
      <c r="J570" s="62" t="s">
        <v>250</v>
      </c>
      <c r="K570" s="62" t="s">
        <v>248</v>
      </c>
      <c r="L570" s="63" t="s">
        <v>245</v>
      </c>
      <c r="M570">
        <v>1</v>
      </c>
    </row>
    <row r="571" spans="1:13" ht="16.5" thickBot="1" x14ac:dyDescent="0.3">
      <c r="A571" s="55" t="s">
        <v>1169</v>
      </c>
      <c r="B571" s="64" t="s">
        <v>265</v>
      </c>
      <c r="C571" s="64" t="s">
        <v>263</v>
      </c>
      <c r="D571" s="65" t="s">
        <v>264</v>
      </c>
      <c r="E571" s="58" t="s">
        <v>260</v>
      </c>
      <c r="F571" s="59" t="s">
        <v>267</v>
      </c>
      <c r="H571" s="55" t="s">
        <v>1169</v>
      </c>
      <c r="I571" s="61" t="s">
        <v>248</v>
      </c>
      <c r="J571" s="62" t="s">
        <v>249</v>
      </c>
      <c r="K571" s="62" t="s">
        <v>250</v>
      </c>
      <c r="L571" s="63" t="s">
        <v>267</v>
      </c>
      <c r="M571">
        <v>2</v>
      </c>
    </row>
    <row r="572" spans="1:13" ht="16.5" thickBot="1" x14ac:dyDescent="0.3">
      <c r="A572" s="55" t="s">
        <v>1170</v>
      </c>
      <c r="B572" s="74" t="s">
        <v>257</v>
      </c>
      <c r="C572" s="74" t="s">
        <v>258</v>
      </c>
      <c r="D572" s="75" t="s">
        <v>259</v>
      </c>
      <c r="E572" s="58" t="s">
        <v>260</v>
      </c>
      <c r="F572" s="59" t="s">
        <v>269</v>
      </c>
      <c r="H572" s="55" t="s">
        <v>1170</v>
      </c>
      <c r="I572" s="61" t="s">
        <v>248</v>
      </c>
      <c r="J572" s="62" t="s">
        <v>249</v>
      </c>
      <c r="K572" s="62" t="s">
        <v>250</v>
      </c>
      <c r="L572" s="67" t="s">
        <v>269</v>
      </c>
      <c r="M572">
        <v>1</v>
      </c>
    </row>
    <row r="573" spans="1:13" ht="16.5" thickBot="1" x14ac:dyDescent="0.3">
      <c r="A573" s="55" t="s">
        <v>1171</v>
      </c>
      <c r="B573" s="64" t="s">
        <v>263</v>
      </c>
      <c r="C573" s="64" t="s">
        <v>264</v>
      </c>
      <c r="D573" s="65" t="s">
        <v>265</v>
      </c>
      <c r="E573" s="58" t="s">
        <v>260</v>
      </c>
      <c r="F573" s="59" t="s">
        <v>271</v>
      </c>
      <c r="H573" s="55" t="s">
        <v>1171</v>
      </c>
      <c r="I573" s="61" t="s">
        <v>250</v>
      </c>
      <c r="J573" s="62" t="s">
        <v>248</v>
      </c>
      <c r="K573" s="62" t="s">
        <v>249</v>
      </c>
      <c r="L573" s="63" t="s">
        <v>1370</v>
      </c>
      <c r="M573">
        <v>2</v>
      </c>
    </row>
    <row r="574" spans="1:13" ht="16.5" thickBot="1" x14ac:dyDescent="0.3">
      <c r="A574" s="55" t="s">
        <v>1172</v>
      </c>
      <c r="B574" s="74" t="s">
        <v>258</v>
      </c>
      <c r="C574" s="74" t="s">
        <v>259</v>
      </c>
      <c r="D574" s="75" t="s">
        <v>257</v>
      </c>
      <c r="E574" s="58" t="s">
        <v>260</v>
      </c>
      <c r="F574" s="59" t="s">
        <v>273</v>
      </c>
      <c r="H574" s="55" t="s">
        <v>1172</v>
      </c>
      <c r="I574" s="61" t="s">
        <v>250</v>
      </c>
      <c r="J574" s="62" t="s">
        <v>248</v>
      </c>
      <c r="K574" s="62" t="s">
        <v>249</v>
      </c>
      <c r="L574" s="81" t="s">
        <v>273</v>
      </c>
      <c r="M574">
        <v>1</v>
      </c>
    </row>
    <row r="575" spans="1:13" ht="16.5" thickBot="1" x14ac:dyDescent="0.3">
      <c r="A575" s="55" t="s">
        <v>1173</v>
      </c>
      <c r="B575" s="76" t="s">
        <v>264</v>
      </c>
      <c r="C575" s="76" t="s">
        <v>265</v>
      </c>
      <c r="D575" s="77" t="s">
        <v>263</v>
      </c>
      <c r="E575" s="58" t="s">
        <v>260</v>
      </c>
      <c r="F575" s="59" t="s">
        <v>275</v>
      </c>
      <c r="H575" s="55" t="s">
        <v>1173</v>
      </c>
      <c r="I575" s="79" t="s">
        <v>249</v>
      </c>
      <c r="J575" s="80" t="s">
        <v>250</v>
      </c>
      <c r="K575" s="80" t="s">
        <v>248</v>
      </c>
      <c r="L575" s="67" t="s">
        <v>1371</v>
      </c>
      <c r="M575">
        <v>2</v>
      </c>
    </row>
    <row r="576" spans="1:13" ht="16.5" thickBot="1" x14ac:dyDescent="0.3">
      <c r="A576" s="55" t="s">
        <v>1174</v>
      </c>
      <c r="B576" s="74" t="s">
        <v>259</v>
      </c>
      <c r="C576" s="74" t="s">
        <v>257</v>
      </c>
      <c r="D576" s="75" t="s">
        <v>258</v>
      </c>
      <c r="E576" s="58" t="s">
        <v>260</v>
      </c>
      <c r="F576" s="59" t="s">
        <v>261</v>
      </c>
      <c r="H576" s="55" t="s">
        <v>1174</v>
      </c>
      <c r="I576" s="61" t="s">
        <v>249</v>
      </c>
      <c r="J576" s="62" t="s">
        <v>250</v>
      </c>
      <c r="K576" s="62" t="s">
        <v>248</v>
      </c>
      <c r="L576" s="63" t="s">
        <v>261</v>
      </c>
      <c r="M576">
        <v>1</v>
      </c>
    </row>
    <row r="577" spans="1:13" ht="16.5" thickBot="1" x14ac:dyDescent="0.3">
      <c r="A577" s="55" t="s">
        <v>1175</v>
      </c>
      <c r="B577" s="64" t="s">
        <v>265</v>
      </c>
      <c r="C577" s="64" t="s">
        <v>263</v>
      </c>
      <c r="D577" s="65" t="s">
        <v>264</v>
      </c>
      <c r="E577" s="58" t="s">
        <v>260</v>
      </c>
      <c r="F577" s="59" t="s">
        <v>245</v>
      </c>
      <c r="H577" s="55" t="s">
        <v>1175</v>
      </c>
      <c r="I577" s="61" t="s">
        <v>248</v>
      </c>
      <c r="J577" s="62" t="s">
        <v>249</v>
      </c>
      <c r="K577" s="62" t="s">
        <v>250</v>
      </c>
      <c r="L577" s="63" t="s">
        <v>245</v>
      </c>
      <c r="M577">
        <v>1</v>
      </c>
    </row>
    <row r="578" spans="1:13" ht="16.5" thickBot="1" x14ac:dyDescent="0.3">
      <c r="A578" s="55" t="s">
        <v>1176</v>
      </c>
      <c r="B578" s="74" t="s">
        <v>257</v>
      </c>
      <c r="C578" s="74" t="s">
        <v>258</v>
      </c>
      <c r="D578" s="75" t="s">
        <v>259</v>
      </c>
      <c r="E578" s="58" t="s">
        <v>260</v>
      </c>
      <c r="F578" s="59" t="s">
        <v>267</v>
      </c>
      <c r="H578" s="55" t="s">
        <v>1176</v>
      </c>
      <c r="I578" s="61" t="s">
        <v>248</v>
      </c>
      <c r="J578" s="62" t="s">
        <v>249</v>
      </c>
      <c r="K578" s="62" t="s">
        <v>250</v>
      </c>
      <c r="L578" s="67" t="s">
        <v>267</v>
      </c>
      <c r="M578">
        <v>2</v>
      </c>
    </row>
    <row r="579" spans="1:13" ht="16.5" thickBot="1" x14ac:dyDescent="0.3">
      <c r="A579" s="55" t="s">
        <v>1177</v>
      </c>
      <c r="B579" s="64" t="s">
        <v>263</v>
      </c>
      <c r="C579" s="64" t="s">
        <v>264</v>
      </c>
      <c r="D579" s="65" t="s">
        <v>265</v>
      </c>
      <c r="E579" s="58" t="s">
        <v>260</v>
      </c>
      <c r="F579" s="59" t="s">
        <v>269</v>
      </c>
      <c r="H579" s="55" t="s">
        <v>1177</v>
      </c>
      <c r="I579" s="61" t="s">
        <v>250</v>
      </c>
      <c r="J579" s="62" t="s">
        <v>248</v>
      </c>
      <c r="K579" s="62" t="s">
        <v>249</v>
      </c>
      <c r="L579" s="63" t="s">
        <v>269</v>
      </c>
      <c r="M579">
        <v>1</v>
      </c>
    </row>
    <row r="580" spans="1:13" ht="16.5" thickBot="1" x14ac:dyDescent="0.3">
      <c r="A580" s="55" t="s">
        <v>1178</v>
      </c>
      <c r="B580" s="74" t="s">
        <v>258</v>
      </c>
      <c r="C580" s="74" t="s">
        <v>259</v>
      </c>
      <c r="D580" s="75" t="s">
        <v>257</v>
      </c>
      <c r="E580" s="58" t="s">
        <v>260</v>
      </c>
      <c r="F580" s="59" t="s">
        <v>271</v>
      </c>
      <c r="H580" s="55" t="s">
        <v>1178</v>
      </c>
      <c r="I580" s="61" t="s">
        <v>250</v>
      </c>
      <c r="J580" s="62" t="s">
        <v>248</v>
      </c>
      <c r="K580" s="62" t="s">
        <v>249</v>
      </c>
      <c r="L580" s="81" t="s">
        <v>1370</v>
      </c>
      <c r="M580">
        <v>2</v>
      </c>
    </row>
    <row r="581" spans="1:13" ht="16.5" thickBot="1" x14ac:dyDescent="0.3">
      <c r="A581" s="55" t="s">
        <v>1179</v>
      </c>
      <c r="B581" s="76" t="s">
        <v>264</v>
      </c>
      <c r="C581" s="76" t="s">
        <v>265</v>
      </c>
      <c r="D581" s="77" t="s">
        <v>263</v>
      </c>
      <c r="E581" s="58" t="s">
        <v>260</v>
      </c>
      <c r="F581" s="59" t="s">
        <v>273</v>
      </c>
      <c r="H581" s="55" t="s">
        <v>1179</v>
      </c>
      <c r="I581" s="79" t="s">
        <v>249</v>
      </c>
      <c r="J581" s="80" t="s">
        <v>250</v>
      </c>
      <c r="K581" s="80" t="s">
        <v>248</v>
      </c>
      <c r="L581" s="67" t="s">
        <v>273</v>
      </c>
      <c r="M581">
        <v>1</v>
      </c>
    </row>
    <row r="582" spans="1:13" ht="16.5" thickBot="1" x14ac:dyDescent="0.3">
      <c r="A582" s="55" t="s">
        <v>1180</v>
      </c>
      <c r="B582" s="74" t="s">
        <v>259</v>
      </c>
      <c r="C582" s="74" t="s">
        <v>257</v>
      </c>
      <c r="D582" s="75" t="s">
        <v>258</v>
      </c>
      <c r="E582" s="58" t="s">
        <v>260</v>
      </c>
      <c r="F582" s="59" t="s">
        <v>275</v>
      </c>
      <c r="H582" s="55" t="s">
        <v>1180</v>
      </c>
      <c r="I582" s="61" t="s">
        <v>249</v>
      </c>
      <c r="J582" s="62" t="s">
        <v>250</v>
      </c>
      <c r="K582" s="62" t="s">
        <v>248</v>
      </c>
      <c r="L582" s="63" t="s">
        <v>1371</v>
      </c>
      <c r="M582">
        <v>2</v>
      </c>
    </row>
    <row r="583" spans="1:13" ht="16.5" thickBot="1" x14ac:dyDescent="0.3">
      <c r="A583" s="55" t="s">
        <v>1181</v>
      </c>
      <c r="B583" s="64" t="s">
        <v>265</v>
      </c>
      <c r="C583" s="64" t="s">
        <v>263</v>
      </c>
      <c r="D583" s="65" t="s">
        <v>264</v>
      </c>
      <c r="E583" s="58" t="s">
        <v>260</v>
      </c>
      <c r="F583" s="59" t="s">
        <v>261</v>
      </c>
      <c r="H583" s="55" t="s">
        <v>1181</v>
      </c>
      <c r="I583" s="61" t="s">
        <v>248</v>
      </c>
      <c r="J583" s="62" t="s">
        <v>249</v>
      </c>
      <c r="K583" s="62" t="s">
        <v>250</v>
      </c>
      <c r="L583" s="63" t="s">
        <v>261</v>
      </c>
      <c r="M583">
        <v>1</v>
      </c>
    </row>
    <row r="584" spans="1:13" ht="16.5" thickBot="1" x14ac:dyDescent="0.3">
      <c r="A584" s="55" t="s">
        <v>1182</v>
      </c>
      <c r="B584" s="74" t="s">
        <v>257</v>
      </c>
      <c r="C584" s="74" t="s">
        <v>258</v>
      </c>
      <c r="D584" s="75" t="s">
        <v>259</v>
      </c>
      <c r="E584" s="58" t="s">
        <v>260</v>
      </c>
      <c r="F584" s="59" t="s">
        <v>245</v>
      </c>
      <c r="H584" s="55" t="s">
        <v>1182</v>
      </c>
      <c r="I584" s="61" t="s">
        <v>248</v>
      </c>
      <c r="J584" s="62" t="s">
        <v>249</v>
      </c>
      <c r="K584" s="62" t="s">
        <v>250</v>
      </c>
      <c r="L584" s="67" t="s">
        <v>245</v>
      </c>
      <c r="M584">
        <v>1</v>
      </c>
    </row>
    <row r="585" spans="1:13" ht="16.5" thickBot="1" x14ac:dyDescent="0.3">
      <c r="A585" s="55" t="s">
        <v>1183</v>
      </c>
      <c r="B585" s="64" t="s">
        <v>263</v>
      </c>
      <c r="C585" s="64" t="s">
        <v>264</v>
      </c>
      <c r="D585" s="65" t="s">
        <v>265</v>
      </c>
      <c r="E585" s="58" t="s">
        <v>260</v>
      </c>
      <c r="F585" s="59" t="s">
        <v>267</v>
      </c>
      <c r="H585" s="55" t="s">
        <v>1183</v>
      </c>
      <c r="I585" s="61" t="s">
        <v>250</v>
      </c>
      <c r="J585" s="62" t="s">
        <v>248</v>
      </c>
      <c r="K585" s="62" t="s">
        <v>249</v>
      </c>
      <c r="L585" s="63" t="s">
        <v>267</v>
      </c>
      <c r="M585">
        <v>2</v>
      </c>
    </row>
    <row r="586" spans="1:13" ht="16.5" thickBot="1" x14ac:dyDescent="0.3">
      <c r="A586" s="55" t="s">
        <v>1184</v>
      </c>
      <c r="B586" s="74" t="s">
        <v>258</v>
      </c>
      <c r="C586" s="74" t="s">
        <v>259</v>
      </c>
      <c r="D586" s="75" t="s">
        <v>257</v>
      </c>
      <c r="E586" s="58" t="s">
        <v>260</v>
      </c>
      <c r="F586" s="59" t="s">
        <v>269</v>
      </c>
      <c r="H586" s="55" t="s">
        <v>1184</v>
      </c>
      <c r="I586" s="61" t="s">
        <v>250</v>
      </c>
      <c r="J586" s="62" t="s">
        <v>248</v>
      </c>
      <c r="K586" s="62" t="s">
        <v>249</v>
      </c>
      <c r="L586" s="81" t="s">
        <v>269</v>
      </c>
      <c r="M586">
        <v>1</v>
      </c>
    </row>
    <row r="587" spans="1:13" ht="16.5" thickBot="1" x14ac:dyDescent="0.3">
      <c r="A587" s="55" t="s">
        <v>1185</v>
      </c>
      <c r="B587" s="76" t="s">
        <v>264</v>
      </c>
      <c r="C587" s="76" t="s">
        <v>265</v>
      </c>
      <c r="D587" s="77" t="s">
        <v>263</v>
      </c>
      <c r="E587" s="58" t="s">
        <v>260</v>
      </c>
      <c r="F587" s="59" t="s">
        <v>271</v>
      </c>
      <c r="H587" s="55" t="s">
        <v>1185</v>
      </c>
      <c r="I587" s="79" t="s">
        <v>249</v>
      </c>
      <c r="J587" s="80" t="s">
        <v>250</v>
      </c>
      <c r="K587" s="80" t="s">
        <v>248</v>
      </c>
      <c r="L587" s="67" t="s">
        <v>1370</v>
      </c>
      <c r="M587">
        <v>2</v>
      </c>
    </row>
    <row r="588" spans="1:13" ht="16.5" thickBot="1" x14ac:dyDescent="0.3">
      <c r="A588" s="55" t="s">
        <v>1186</v>
      </c>
      <c r="B588" s="74" t="s">
        <v>259</v>
      </c>
      <c r="C588" s="74" t="s">
        <v>257</v>
      </c>
      <c r="D588" s="75" t="s">
        <v>258</v>
      </c>
      <c r="E588" s="58" t="s">
        <v>260</v>
      </c>
      <c r="F588" s="59" t="s">
        <v>273</v>
      </c>
      <c r="H588" s="55" t="s">
        <v>1186</v>
      </c>
      <c r="I588" s="61" t="s">
        <v>249</v>
      </c>
      <c r="J588" s="62" t="s">
        <v>250</v>
      </c>
      <c r="K588" s="62" t="s">
        <v>248</v>
      </c>
      <c r="L588" s="63" t="s">
        <v>273</v>
      </c>
      <c r="M588">
        <v>1</v>
      </c>
    </row>
    <row r="589" spans="1:13" ht="16.5" thickBot="1" x14ac:dyDescent="0.3">
      <c r="A589" s="55" t="s">
        <v>1187</v>
      </c>
      <c r="B589" s="64" t="s">
        <v>265</v>
      </c>
      <c r="C589" s="64" t="s">
        <v>263</v>
      </c>
      <c r="D589" s="65" t="s">
        <v>264</v>
      </c>
      <c r="E589" s="58" t="s">
        <v>260</v>
      </c>
      <c r="F589" s="59" t="s">
        <v>275</v>
      </c>
      <c r="H589" s="55" t="s">
        <v>1187</v>
      </c>
      <c r="I589" s="61" t="s">
        <v>248</v>
      </c>
      <c r="J589" s="62" t="s">
        <v>249</v>
      </c>
      <c r="K589" s="62" t="s">
        <v>250</v>
      </c>
      <c r="L589" s="63" t="s">
        <v>1371</v>
      </c>
      <c r="M589">
        <v>2</v>
      </c>
    </row>
    <row r="590" spans="1:13" ht="16.5" thickBot="1" x14ac:dyDescent="0.3">
      <c r="A590" s="55" t="s">
        <v>1188</v>
      </c>
      <c r="B590" s="74" t="s">
        <v>257</v>
      </c>
      <c r="C590" s="74" t="s">
        <v>258</v>
      </c>
      <c r="D590" s="75" t="s">
        <v>259</v>
      </c>
      <c r="E590" s="58" t="s">
        <v>260</v>
      </c>
      <c r="F590" s="59" t="s">
        <v>261</v>
      </c>
      <c r="H590" s="55" t="s">
        <v>1188</v>
      </c>
      <c r="I590" s="61" t="s">
        <v>248</v>
      </c>
      <c r="J590" s="62" t="s">
        <v>249</v>
      </c>
      <c r="K590" s="62" t="s">
        <v>250</v>
      </c>
      <c r="L590" s="67" t="s">
        <v>261</v>
      </c>
      <c r="M590">
        <v>1</v>
      </c>
    </row>
    <row r="591" spans="1:13" ht="16.5" thickBot="1" x14ac:dyDescent="0.3">
      <c r="A591" s="55" t="s">
        <v>1189</v>
      </c>
      <c r="B591" s="64" t="s">
        <v>263</v>
      </c>
      <c r="C591" s="64" t="s">
        <v>264</v>
      </c>
      <c r="D591" s="65" t="s">
        <v>265</v>
      </c>
      <c r="E591" s="58" t="s">
        <v>260</v>
      </c>
      <c r="F591" s="59" t="s">
        <v>245</v>
      </c>
      <c r="H591" s="55" t="s">
        <v>1189</v>
      </c>
      <c r="I591" s="61" t="s">
        <v>250</v>
      </c>
      <c r="J591" s="62" t="s">
        <v>248</v>
      </c>
      <c r="K591" s="62" t="s">
        <v>249</v>
      </c>
      <c r="L591" s="63" t="s">
        <v>245</v>
      </c>
      <c r="M591">
        <v>1</v>
      </c>
    </row>
    <row r="592" spans="1:13" ht="16.5" thickBot="1" x14ac:dyDescent="0.3">
      <c r="A592" s="55" t="s">
        <v>1190</v>
      </c>
      <c r="B592" s="74" t="s">
        <v>258</v>
      </c>
      <c r="C592" s="74" t="s">
        <v>259</v>
      </c>
      <c r="D592" s="75" t="s">
        <v>257</v>
      </c>
      <c r="E592" s="58" t="s">
        <v>260</v>
      </c>
      <c r="F592" s="59" t="s">
        <v>267</v>
      </c>
      <c r="H592" s="55" t="s">
        <v>1190</v>
      </c>
      <c r="I592" s="61" t="s">
        <v>250</v>
      </c>
      <c r="J592" s="62" t="s">
        <v>248</v>
      </c>
      <c r="K592" s="62" t="s">
        <v>249</v>
      </c>
      <c r="L592" s="81" t="s">
        <v>267</v>
      </c>
      <c r="M592">
        <v>2</v>
      </c>
    </row>
    <row r="593" spans="1:13" ht="16.5" thickBot="1" x14ac:dyDescent="0.3">
      <c r="A593" s="55" t="s">
        <v>1191</v>
      </c>
      <c r="B593" s="76" t="s">
        <v>264</v>
      </c>
      <c r="C593" s="76" t="s">
        <v>265</v>
      </c>
      <c r="D593" s="77" t="s">
        <v>263</v>
      </c>
      <c r="E593" s="58" t="s">
        <v>260</v>
      </c>
      <c r="F593" s="59" t="s">
        <v>269</v>
      </c>
      <c r="H593" s="55" t="s">
        <v>1191</v>
      </c>
      <c r="I593" s="79" t="s">
        <v>249</v>
      </c>
      <c r="J593" s="80" t="s">
        <v>250</v>
      </c>
      <c r="K593" s="80" t="s">
        <v>248</v>
      </c>
      <c r="L593" s="67" t="s">
        <v>269</v>
      </c>
      <c r="M593">
        <v>1</v>
      </c>
    </row>
    <row r="594" spans="1:13" ht="16.5" thickBot="1" x14ac:dyDescent="0.3">
      <c r="A594" s="55" t="s">
        <v>1192</v>
      </c>
      <c r="B594" s="74" t="s">
        <v>259</v>
      </c>
      <c r="C594" s="74" t="s">
        <v>257</v>
      </c>
      <c r="D594" s="75" t="s">
        <v>258</v>
      </c>
      <c r="E594" s="58" t="s">
        <v>260</v>
      </c>
      <c r="F594" s="59" t="s">
        <v>271</v>
      </c>
      <c r="H594" s="55" t="s">
        <v>1192</v>
      </c>
      <c r="I594" s="61" t="s">
        <v>249</v>
      </c>
      <c r="J594" s="62" t="s">
        <v>250</v>
      </c>
      <c r="K594" s="62" t="s">
        <v>248</v>
      </c>
      <c r="L594" s="63" t="s">
        <v>1370</v>
      </c>
      <c r="M594">
        <v>2</v>
      </c>
    </row>
    <row r="595" spans="1:13" ht="16.5" thickBot="1" x14ac:dyDescent="0.3">
      <c r="A595" s="55" t="s">
        <v>1193</v>
      </c>
      <c r="B595" s="64" t="s">
        <v>265</v>
      </c>
      <c r="C595" s="64" t="s">
        <v>263</v>
      </c>
      <c r="D595" s="65" t="s">
        <v>264</v>
      </c>
      <c r="E595" s="58" t="s">
        <v>260</v>
      </c>
      <c r="F595" s="59" t="s">
        <v>273</v>
      </c>
      <c r="H595" s="55" t="s">
        <v>1193</v>
      </c>
      <c r="I595" s="61" t="s">
        <v>248</v>
      </c>
      <c r="J595" s="62" t="s">
        <v>249</v>
      </c>
      <c r="K595" s="62" t="s">
        <v>250</v>
      </c>
      <c r="L595" s="63" t="s">
        <v>273</v>
      </c>
      <c r="M595">
        <v>1</v>
      </c>
    </row>
    <row r="596" spans="1:13" ht="16.5" thickBot="1" x14ac:dyDescent="0.3">
      <c r="A596" s="55" t="s">
        <v>1194</v>
      </c>
      <c r="B596" s="74" t="s">
        <v>257</v>
      </c>
      <c r="C596" s="74" t="s">
        <v>258</v>
      </c>
      <c r="D596" s="75" t="s">
        <v>259</v>
      </c>
      <c r="E596" s="58" t="s">
        <v>260</v>
      </c>
      <c r="F596" s="59" t="s">
        <v>275</v>
      </c>
      <c r="H596" s="55" t="s">
        <v>1194</v>
      </c>
      <c r="I596" s="61" t="s">
        <v>248</v>
      </c>
      <c r="J596" s="62" t="s">
        <v>249</v>
      </c>
      <c r="K596" s="62" t="s">
        <v>250</v>
      </c>
      <c r="L596" s="67" t="s">
        <v>1371</v>
      </c>
      <c r="M596">
        <v>2</v>
      </c>
    </row>
    <row r="597" spans="1:13" ht="16.5" thickBot="1" x14ac:dyDescent="0.3">
      <c r="A597" s="55" t="s">
        <v>1195</v>
      </c>
      <c r="B597" s="64" t="s">
        <v>263</v>
      </c>
      <c r="C597" s="64" t="s">
        <v>264</v>
      </c>
      <c r="D597" s="65" t="s">
        <v>265</v>
      </c>
      <c r="E597" s="58" t="s">
        <v>260</v>
      </c>
      <c r="F597" s="59" t="s">
        <v>261</v>
      </c>
      <c r="H597" s="55" t="s">
        <v>1195</v>
      </c>
      <c r="I597" s="61" t="s">
        <v>250</v>
      </c>
      <c r="J597" s="62" t="s">
        <v>248</v>
      </c>
      <c r="K597" s="62" t="s">
        <v>249</v>
      </c>
      <c r="L597" s="63" t="s">
        <v>261</v>
      </c>
      <c r="M597">
        <v>1</v>
      </c>
    </row>
    <row r="598" spans="1:13" ht="16.5" thickBot="1" x14ac:dyDescent="0.3">
      <c r="A598" s="55" t="s">
        <v>1196</v>
      </c>
      <c r="B598" s="74" t="s">
        <v>258</v>
      </c>
      <c r="C598" s="74" t="s">
        <v>259</v>
      </c>
      <c r="D598" s="75" t="s">
        <v>257</v>
      </c>
      <c r="E598" s="58" t="s">
        <v>260</v>
      </c>
      <c r="F598" s="59" t="s">
        <v>245</v>
      </c>
      <c r="H598" s="55" t="s">
        <v>1196</v>
      </c>
      <c r="I598" s="61" t="s">
        <v>250</v>
      </c>
      <c r="J598" s="62" t="s">
        <v>248</v>
      </c>
      <c r="K598" s="62" t="s">
        <v>249</v>
      </c>
      <c r="L598" s="81" t="s">
        <v>245</v>
      </c>
      <c r="M598">
        <v>1</v>
      </c>
    </row>
    <row r="599" spans="1:13" ht="16.5" thickBot="1" x14ac:dyDescent="0.3">
      <c r="A599" s="55" t="s">
        <v>1197</v>
      </c>
      <c r="B599" s="76" t="s">
        <v>264</v>
      </c>
      <c r="C599" s="76" t="s">
        <v>265</v>
      </c>
      <c r="D599" s="77" t="s">
        <v>263</v>
      </c>
      <c r="E599" s="58" t="s">
        <v>260</v>
      </c>
      <c r="F599" s="59" t="s">
        <v>267</v>
      </c>
      <c r="H599" s="55" t="s">
        <v>1197</v>
      </c>
      <c r="I599" s="79" t="s">
        <v>249</v>
      </c>
      <c r="J599" s="80" t="s">
        <v>250</v>
      </c>
      <c r="K599" s="80" t="s">
        <v>248</v>
      </c>
      <c r="L599" s="67" t="s">
        <v>267</v>
      </c>
      <c r="M599">
        <v>2</v>
      </c>
    </row>
    <row r="600" spans="1:13" ht="16.5" thickBot="1" x14ac:dyDescent="0.3">
      <c r="A600" s="55" t="s">
        <v>1198</v>
      </c>
      <c r="B600" s="74" t="s">
        <v>259</v>
      </c>
      <c r="C600" s="74" t="s">
        <v>257</v>
      </c>
      <c r="D600" s="75" t="s">
        <v>258</v>
      </c>
      <c r="E600" s="58" t="s">
        <v>260</v>
      </c>
      <c r="F600" s="59" t="s">
        <v>269</v>
      </c>
      <c r="H600" s="55" t="s">
        <v>1198</v>
      </c>
      <c r="I600" s="61" t="s">
        <v>249</v>
      </c>
      <c r="J600" s="62" t="s">
        <v>250</v>
      </c>
      <c r="K600" s="62" t="s">
        <v>248</v>
      </c>
      <c r="L600" s="63" t="s">
        <v>269</v>
      </c>
      <c r="M600">
        <v>1</v>
      </c>
    </row>
    <row r="601" spans="1:13" ht="16.5" thickBot="1" x14ac:dyDescent="0.3">
      <c r="A601" s="55" t="s">
        <v>1199</v>
      </c>
      <c r="B601" s="64" t="s">
        <v>265</v>
      </c>
      <c r="C601" s="64" t="s">
        <v>263</v>
      </c>
      <c r="D601" s="65" t="s">
        <v>264</v>
      </c>
      <c r="E601" s="58" t="s">
        <v>260</v>
      </c>
      <c r="F601" s="59" t="s">
        <v>271</v>
      </c>
      <c r="H601" s="55" t="s">
        <v>1199</v>
      </c>
      <c r="I601" s="61" t="s">
        <v>248</v>
      </c>
      <c r="J601" s="62" t="s">
        <v>249</v>
      </c>
      <c r="K601" s="62" t="s">
        <v>250</v>
      </c>
      <c r="L601" s="63" t="s">
        <v>1370</v>
      </c>
      <c r="M601">
        <v>2</v>
      </c>
    </row>
    <row r="602" spans="1:13" ht="16.5" thickBot="1" x14ac:dyDescent="0.3">
      <c r="A602" s="55" t="s">
        <v>1200</v>
      </c>
      <c r="B602" s="74" t="s">
        <v>257</v>
      </c>
      <c r="C602" s="74" t="s">
        <v>258</v>
      </c>
      <c r="D602" s="75" t="s">
        <v>259</v>
      </c>
      <c r="E602" s="58" t="s">
        <v>260</v>
      </c>
      <c r="F602" s="59" t="s">
        <v>273</v>
      </c>
      <c r="H602" s="55" t="s">
        <v>1200</v>
      </c>
      <c r="I602" s="61" t="s">
        <v>248</v>
      </c>
      <c r="J602" s="62" t="s">
        <v>249</v>
      </c>
      <c r="K602" s="62" t="s">
        <v>250</v>
      </c>
      <c r="L602" s="67" t="s">
        <v>273</v>
      </c>
      <c r="M602">
        <v>1</v>
      </c>
    </row>
    <row r="603" spans="1:13" ht="16.5" thickBot="1" x14ac:dyDescent="0.3">
      <c r="A603" s="55" t="s">
        <v>1201</v>
      </c>
      <c r="B603" s="64" t="s">
        <v>263</v>
      </c>
      <c r="C603" s="64" t="s">
        <v>264</v>
      </c>
      <c r="D603" s="65" t="s">
        <v>265</v>
      </c>
      <c r="E603" s="58" t="s">
        <v>260</v>
      </c>
      <c r="F603" s="59" t="s">
        <v>275</v>
      </c>
      <c r="H603" s="55" t="s">
        <v>1201</v>
      </c>
      <c r="I603" s="61" t="s">
        <v>250</v>
      </c>
      <c r="J603" s="62" t="s">
        <v>248</v>
      </c>
      <c r="K603" s="62" t="s">
        <v>249</v>
      </c>
      <c r="L603" s="63" t="s">
        <v>1371</v>
      </c>
      <c r="M603">
        <v>2</v>
      </c>
    </row>
    <row r="604" spans="1:13" ht="16.5" thickBot="1" x14ac:dyDescent="0.3">
      <c r="A604" s="55" t="s">
        <v>1202</v>
      </c>
      <c r="B604" s="74" t="s">
        <v>258</v>
      </c>
      <c r="C604" s="74" t="s">
        <v>259</v>
      </c>
      <c r="D604" s="75" t="s">
        <v>257</v>
      </c>
      <c r="E604" s="58" t="s">
        <v>260</v>
      </c>
      <c r="F604" s="59" t="s">
        <v>261</v>
      </c>
      <c r="H604" s="55" t="s">
        <v>1202</v>
      </c>
      <c r="I604" s="61" t="s">
        <v>250</v>
      </c>
      <c r="J604" s="62" t="s">
        <v>248</v>
      </c>
      <c r="K604" s="62" t="s">
        <v>249</v>
      </c>
      <c r="L604" s="81" t="s">
        <v>261</v>
      </c>
      <c r="M604">
        <v>1</v>
      </c>
    </row>
    <row r="605" spans="1:13" ht="16.5" thickBot="1" x14ac:dyDescent="0.3">
      <c r="A605" s="55" t="s">
        <v>1203</v>
      </c>
      <c r="B605" s="76" t="s">
        <v>264</v>
      </c>
      <c r="C605" s="76" t="s">
        <v>265</v>
      </c>
      <c r="D605" s="77" t="s">
        <v>263</v>
      </c>
      <c r="E605" s="58" t="s">
        <v>260</v>
      </c>
      <c r="F605" s="59" t="s">
        <v>245</v>
      </c>
      <c r="H605" s="55" t="s">
        <v>1203</v>
      </c>
      <c r="I605" s="79" t="s">
        <v>249</v>
      </c>
      <c r="J605" s="80" t="s">
        <v>250</v>
      </c>
      <c r="K605" s="80" t="s">
        <v>248</v>
      </c>
      <c r="L605" s="67" t="s">
        <v>245</v>
      </c>
      <c r="M605">
        <v>1</v>
      </c>
    </row>
    <row r="606" spans="1:13" ht="16.5" thickBot="1" x14ac:dyDescent="0.3">
      <c r="A606" s="55" t="s">
        <v>1204</v>
      </c>
      <c r="B606" s="74" t="s">
        <v>259</v>
      </c>
      <c r="C606" s="74" t="s">
        <v>257</v>
      </c>
      <c r="D606" s="75" t="s">
        <v>258</v>
      </c>
      <c r="E606" s="58" t="s">
        <v>260</v>
      </c>
      <c r="F606" s="59" t="s">
        <v>267</v>
      </c>
      <c r="H606" s="55" t="s">
        <v>1204</v>
      </c>
      <c r="I606" s="61" t="s">
        <v>249</v>
      </c>
      <c r="J606" s="62" t="s">
        <v>250</v>
      </c>
      <c r="K606" s="62" t="s">
        <v>248</v>
      </c>
      <c r="L606" s="63" t="s">
        <v>267</v>
      </c>
      <c r="M606">
        <v>2</v>
      </c>
    </row>
    <row r="607" spans="1:13" ht="16.5" thickBot="1" x14ac:dyDescent="0.3">
      <c r="A607" s="55" t="s">
        <v>1205</v>
      </c>
      <c r="B607" s="64" t="s">
        <v>265</v>
      </c>
      <c r="C607" s="64" t="s">
        <v>263</v>
      </c>
      <c r="D607" s="65" t="s">
        <v>264</v>
      </c>
      <c r="E607" s="58" t="s">
        <v>260</v>
      </c>
      <c r="F607" s="59" t="s">
        <v>269</v>
      </c>
      <c r="H607" s="55" t="s">
        <v>1205</v>
      </c>
      <c r="I607" s="61" t="s">
        <v>248</v>
      </c>
      <c r="J607" s="62" t="s">
        <v>249</v>
      </c>
      <c r="K607" s="62" t="s">
        <v>250</v>
      </c>
      <c r="L607" s="63" t="s">
        <v>269</v>
      </c>
      <c r="M607">
        <v>1</v>
      </c>
    </row>
    <row r="608" spans="1:13" ht="16.5" thickBot="1" x14ac:dyDescent="0.3">
      <c r="A608" s="55" t="s">
        <v>1206</v>
      </c>
      <c r="B608" s="74" t="s">
        <v>257</v>
      </c>
      <c r="C608" s="74" t="s">
        <v>258</v>
      </c>
      <c r="D608" s="75" t="s">
        <v>259</v>
      </c>
      <c r="E608" s="58" t="s">
        <v>260</v>
      </c>
      <c r="F608" s="59" t="s">
        <v>271</v>
      </c>
      <c r="H608" s="55" t="s">
        <v>1206</v>
      </c>
      <c r="I608" s="61" t="s">
        <v>248</v>
      </c>
      <c r="J608" s="62" t="s">
        <v>249</v>
      </c>
      <c r="K608" s="62" t="s">
        <v>250</v>
      </c>
      <c r="L608" s="67" t="s">
        <v>1370</v>
      </c>
      <c r="M608">
        <v>2</v>
      </c>
    </row>
    <row r="609" spans="1:13" ht="16.5" thickBot="1" x14ac:dyDescent="0.3">
      <c r="A609" s="55" t="s">
        <v>1207</v>
      </c>
      <c r="B609" s="64" t="s">
        <v>263</v>
      </c>
      <c r="C609" s="64" t="s">
        <v>264</v>
      </c>
      <c r="D609" s="65" t="s">
        <v>265</v>
      </c>
      <c r="E609" s="58" t="s">
        <v>260</v>
      </c>
      <c r="F609" s="59" t="s">
        <v>273</v>
      </c>
      <c r="H609" s="55" t="s">
        <v>1207</v>
      </c>
      <c r="I609" s="61" t="s">
        <v>250</v>
      </c>
      <c r="J609" s="62" t="s">
        <v>248</v>
      </c>
      <c r="K609" s="62" t="s">
        <v>249</v>
      </c>
      <c r="L609" s="63" t="s">
        <v>273</v>
      </c>
      <c r="M609">
        <v>1</v>
      </c>
    </row>
    <row r="610" spans="1:13" ht="16.5" thickBot="1" x14ac:dyDescent="0.3">
      <c r="A610" s="55" t="s">
        <v>1208</v>
      </c>
      <c r="B610" s="74" t="s">
        <v>258</v>
      </c>
      <c r="C610" s="74" t="s">
        <v>259</v>
      </c>
      <c r="D610" s="75" t="s">
        <v>257</v>
      </c>
      <c r="E610" s="58" t="s">
        <v>260</v>
      </c>
      <c r="F610" s="59" t="s">
        <v>275</v>
      </c>
      <c r="H610" s="55" t="s">
        <v>1208</v>
      </c>
      <c r="I610" s="61" t="s">
        <v>250</v>
      </c>
      <c r="J610" s="62" t="s">
        <v>248</v>
      </c>
      <c r="K610" s="62" t="s">
        <v>249</v>
      </c>
      <c r="L610" s="81" t="s">
        <v>1371</v>
      </c>
      <c r="M610">
        <v>2</v>
      </c>
    </row>
    <row r="611" spans="1:13" ht="16.5" thickBot="1" x14ac:dyDescent="0.3">
      <c r="A611" s="55" t="s">
        <v>1209</v>
      </c>
      <c r="B611" s="76" t="s">
        <v>264</v>
      </c>
      <c r="C611" s="76" t="s">
        <v>265</v>
      </c>
      <c r="D611" s="77" t="s">
        <v>263</v>
      </c>
      <c r="E611" s="58" t="s">
        <v>260</v>
      </c>
      <c r="F611" s="59" t="s">
        <v>261</v>
      </c>
      <c r="H611" s="55" t="s">
        <v>1209</v>
      </c>
      <c r="I611" s="79" t="s">
        <v>249</v>
      </c>
      <c r="J611" s="80" t="s">
        <v>250</v>
      </c>
      <c r="K611" s="80" t="s">
        <v>248</v>
      </c>
      <c r="L611" s="67" t="s">
        <v>261</v>
      </c>
      <c r="M611">
        <v>1</v>
      </c>
    </row>
    <row r="612" spans="1:13" ht="16.5" thickBot="1" x14ac:dyDescent="0.3">
      <c r="A612" s="55" t="s">
        <v>1210</v>
      </c>
      <c r="B612" s="74" t="s">
        <v>259</v>
      </c>
      <c r="C612" s="74" t="s">
        <v>257</v>
      </c>
      <c r="D612" s="75" t="s">
        <v>258</v>
      </c>
      <c r="E612" s="58" t="s">
        <v>260</v>
      </c>
      <c r="F612" s="59" t="s">
        <v>245</v>
      </c>
      <c r="H612" s="55" t="s">
        <v>1210</v>
      </c>
      <c r="I612" s="61" t="s">
        <v>249</v>
      </c>
      <c r="J612" s="62" t="s">
        <v>250</v>
      </c>
      <c r="K612" s="62" t="s">
        <v>248</v>
      </c>
      <c r="L612" s="63" t="s">
        <v>245</v>
      </c>
      <c r="M612">
        <v>1</v>
      </c>
    </row>
    <row r="613" spans="1:13" ht="16.5" thickBot="1" x14ac:dyDescent="0.3">
      <c r="A613" s="55" t="s">
        <v>1211</v>
      </c>
      <c r="B613" s="64" t="s">
        <v>265</v>
      </c>
      <c r="C613" s="64" t="s">
        <v>263</v>
      </c>
      <c r="D613" s="65" t="s">
        <v>264</v>
      </c>
      <c r="E613" s="58" t="s">
        <v>260</v>
      </c>
      <c r="F613" s="59" t="s">
        <v>267</v>
      </c>
      <c r="H613" s="55" t="s">
        <v>1211</v>
      </c>
      <c r="I613" s="61" t="s">
        <v>248</v>
      </c>
      <c r="J613" s="62" t="s">
        <v>249</v>
      </c>
      <c r="K613" s="62" t="s">
        <v>250</v>
      </c>
      <c r="L613" s="63" t="s">
        <v>267</v>
      </c>
      <c r="M613">
        <v>2</v>
      </c>
    </row>
    <row r="614" spans="1:13" ht="16.5" thickBot="1" x14ac:dyDescent="0.3">
      <c r="A614" s="55" t="s">
        <v>1212</v>
      </c>
      <c r="B614" s="74" t="s">
        <v>257</v>
      </c>
      <c r="C614" s="74" t="s">
        <v>258</v>
      </c>
      <c r="D614" s="75" t="s">
        <v>259</v>
      </c>
      <c r="E614" s="58" t="s">
        <v>260</v>
      </c>
      <c r="F614" s="59" t="s">
        <v>269</v>
      </c>
      <c r="H614" s="55" t="s">
        <v>1212</v>
      </c>
      <c r="I614" s="61" t="s">
        <v>248</v>
      </c>
      <c r="J614" s="62" t="s">
        <v>249</v>
      </c>
      <c r="K614" s="62" t="s">
        <v>250</v>
      </c>
      <c r="L614" s="67" t="s">
        <v>269</v>
      </c>
      <c r="M614">
        <v>1</v>
      </c>
    </row>
    <row r="615" spans="1:13" ht="16.5" thickBot="1" x14ac:dyDescent="0.3">
      <c r="A615" s="55" t="s">
        <v>1213</v>
      </c>
      <c r="B615" s="64" t="s">
        <v>263</v>
      </c>
      <c r="C615" s="64" t="s">
        <v>264</v>
      </c>
      <c r="D615" s="65" t="s">
        <v>265</v>
      </c>
      <c r="E615" s="58" t="s">
        <v>260</v>
      </c>
      <c r="F615" s="59" t="s">
        <v>271</v>
      </c>
      <c r="H615" s="55" t="s">
        <v>1213</v>
      </c>
      <c r="I615" s="61" t="s">
        <v>250</v>
      </c>
      <c r="J615" s="62" t="s">
        <v>248</v>
      </c>
      <c r="K615" s="62" t="s">
        <v>249</v>
      </c>
      <c r="L615" s="63" t="s">
        <v>1370</v>
      </c>
      <c r="M615">
        <v>2</v>
      </c>
    </row>
    <row r="616" spans="1:13" ht="16.5" thickBot="1" x14ac:dyDescent="0.3">
      <c r="A616" s="55" t="s">
        <v>1214</v>
      </c>
      <c r="B616" s="74" t="s">
        <v>258</v>
      </c>
      <c r="C616" s="74" t="s">
        <v>259</v>
      </c>
      <c r="D616" s="75" t="s">
        <v>257</v>
      </c>
      <c r="E616" s="58" t="s">
        <v>260</v>
      </c>
      <c r="F616" s="59" t="s">
        <v>273</v>
      </c>
      <c r="H616" s="55" t="s">
        <v>1214</v>
      </c>
      <c r="I616" s="61" t="s">
        <v>250</v>
      </c>
      <c r="J616" s="62" t="s">
        <v>248</v>
      </c>
      <c r="K616" s="62" t="s">
        <v>249</v>
      </c>
      <c r="L616" s="81" t="s">
        <v>273</v>
      </c>
      <c r="M616">
        <v>1</v>
      </c>
    </row>
    <row r="617" spans="1:13" ht="16.5" thickBot="1" x14ac:dyDescent="0.3">
      <c r="A617" s="55" t="s">
        <v>1215</v>
      </c>
      <c r="B617" s="76" t="s">
        <v>264</v>
      </c>
      <c r="C617" s="76" t="s">
        <v>265</v>
      </c>
      <c r="D617" s="77" t="s">
        <v>263</v>
      </c>
      <c r="E617" s="58" t="s">
        <v>260</v>
      </c>
      <c r="F617" s="59" t="s">
        <v>275</v>
      </c>
      <c r="H617" s="55" t="s">
        <v>1215</v>
      </c>
      <c r="I617" s="79" t="s">
        <v>249</v>
      </c>
      <c r="J617" s="80" t="s">
        <v>250</v>
      </c>
      <c r="K617" s="80" t="s">
        <v>248</v>
      </c>
      <c r="L617" s="67" t="s">
        <v>1371</v>
      </c>
      <c r="M617">
        <v>2</v>
      </c>
    </row>
    <row r="618" spans="1:13" ht="16.5" thickBot="1" x14ac:dyDescent="0.3">
      <c r="A618" s="55" t="s">
        <v>1216</v>
      </c>
      <c r="B618" s="74" t="s">
        <v>259</v>
      </c>
      <c r="C618" s="74" t="s">
        <v>257</v>
      </c>
      <c r="D618" s="75" t="s">
        <v>258</v>
      </c>
      <c r="E618" s="58" t="s">
        <v>260</v>
      </c>
      <c r="F618" s="59" t="s">
        <v>261</v>
      </c>
      <c r="H618" s="55" t="s">
        <v>1216</v>
      </c>
      <c r="I618" s="61" t="s">
        <v>249</v>
      </c>
      <c r="J618" s="62" t="s">
        <v>250</v>
      </c>
      <c r="K618" s="62" t="s">
        <v>248</v>
      </c>
      <c r="L618" s="63" t="s">
        <v>261</v>
      </c>
      <c r="M618">
        <v>1</v>
      </c>
    </row>
    <row r="619" spans="1:13" ht="16.5" thickBot="1" x14ac:dyDescent="0.3">
      <c r="A619" s="55" t="s">
        <v>1217</v>
      </c>
      <c r="B619" s="64" t="s">
        <v>265</v>
      </c>
      <c r="C619" s="64" t="s">
        <v>263</v>
      </c>
      <c r="D619" s="65" t="s">
        <v>264</v>
      </c>
      <c r="E619" s="58" t="s">
        <v>260</v>
      </c>
      <c r="F619" s="59" t="s">
        <v>245</v>
      </c>
      <c r="H619" s="55" t="s">
        <v>1217</v>
      </c>
      <c r="I619" s="61" t="s">
        <v>248</v>
      </c>
      <c r="J619" s="62" t="s">
        <v>249</v>
      </c>
      <c r="K619" s="62" t="s">
        <v>250</v>
      </c>
      <c r="L619" s="63" t="s">
        <v>245</v>
      </c>
      <c r="M619">
        <v>1</v>
      </c>
    </row>
    <row r="620" spans="1:13" ht="16.5" thickBot="1" x14ac:dyDescent="0.3">
      <c r="A620" s="55" t="s">
        <v>1218</v>
      </c>
      <c r="B620" s="74" t="s">
        <v>257</v>
      </c>
      <c r="C620" s="74" t="s">
        <v>258</v>
      </c>
      <c r="D620" s="75" t="s">
        <v>259</v>
      </c>
      <c r="E620" s="58" t="s">
        <v>260</v>
      </c>
      <c r="F620" s="59" t="s">
        <v>267</v>
      </c>
      <c r="H620" s="55" t="s">
        <v>1218</v>
      </c>
      <c r="I620" s="61" t="s">
        <v>248</v>
      </c>
      <c r="J620" s="62" t="s">
        <v>249</v>
      </c>
      <c r="K620" s="62" t="s">
        <v>250</v>
      </c>
      <c r="L620" s="67" t="s">
        <v>267</v>
      </c>
      <c r="M620">
        <v>2</v>
      </c>
    </row>
    <row r="621" spans="1:13" ht="16.5" thickBot="1" x14ac:dyDescent="0.3">
      <c r="A621" s="55" t="s">
        <v>1219</v>
      </c>
      <c r="B621" s="64" t="s">
        <v>263</v>
      </c>
      <c r="C621" s="64" t="s">
        <v>264</v>
      </c>
      <c r="D621" s="65" t="s">
        <v>265</v>
      </c>
      <c r="E621" s="58" t="s">
        <v>260</v>
      </c>
      <c r="F621" s="59" t="s">
        <v>269</v>
      </c>
      <c r="H621" s="55" t="s">
        <v>1219</v>
      </c>
      <c r="I621" s="61" t="s">
        <v>250</v>
      </c>
      <c r="J621" s="62" t="s">
        <v>248</v>
      </c>
      <c r="K621" s="62" t="s">
        <v>249</v>
      </c>
      <c r="L621" s="63" t="s">
        <v>269</v>
      </c>
      <c r="M621">
        <v>1</v>
      </c>
    </row>
    <row r="622" spans="1:13" ht="16.5" thickBot="1" x14ac:dyDescent="0.3">
      <c r="A622" s="55" t="s">
        <v>1220</v>
      </c>
      <c r="B622" s="74" t="s">
        <v>258</v>
      </c>
      <c r="C622" s="74" t="s">
        <v>259</v>
      </c>
      <c r="D622" s="75" t="s">
        <v>257</v>
      </c>
      <c r="E622" s="58" t="s">
        <v>260</v>
      </c>
      <c r="F622" s="59" t="s">
        <v>271</v>
      </c>
      <c r="H622" s="55" t="s">
        <v>1220</v>
      </c>
      <c r="I622" s="61" t="s">
        <v>250</v>
      </c>
      <c r="J622" s="62" t="s">
        <v>248</v>
      </c>
      <c r="K622" s="62" t="s">
        <v>249</v>
      </c>
      <c r="L622" s="81" t="s">
        <v>1370</v>
      </c>
      <c r="M622">
        <v>2</v>
      </c>
    </row>
    <row r="623" spans="1:13" ht="16.5" thickBot="1" x14ac:dyDescent="0.3">
      <c r="A623" s="55" t="s">
        <v>1221</v>
      </c>
      <c r="B623" s="76" t="s">
        <v>264</v>
      </c>
      <c r="C623" s="76" t="s">
        <v>265</v>
      </c>
      <c r="D623" s="77" t="s">
        <v>263</v>
      </c>
      <c r="E623" s="58" t="s">
        <v>260</v>
      </c>
      <c r="F623" s="59" t="s">
        <v>273</v>
      </c>
      <c r="H623" s="55" t="s">
        <v>1221</v>
      </c>
      <c r="I623" s="79" t="s">
        <v>249</v>
      </c>
      <c r="J623" s="80" t="s">
        <v>250</v>
      </c>
      <c r="K623" s="80" t="s">
        <v>248</v>
      </c>
      <c r="L623" s="67" t="s">
        <v>273</v>
      </c>
      <c r="M623">
        <v>1</v>
      </c>
    </row>
    <row r="624" spans="1:13" ht="16.5" thickBot="1" x14ac:dyDescent="0.3">
      <c r="A624" s="55" t="s">
        <v>1222</v>
      </c>
      <c r="B624" s="74" t="s">
        <v>259</v>
      </c>
      <c r="C624" s="74" t="s">
        <v>257</v>
      </c>
      <c r="D624" s="75" t="s">
        <v>258</v>
      </c>
      <c r="E624" s="58" t="s">
        <v>260</v>
      </c>
      <c r="F624" s="59" t="s">
        <v>275</v>
      </c>
      <c r="H624" s="55" t="s">
        <v>1222</v>
      </c>
      <c r="I624" s="61" t="s">
        <v>249</v>
      </c>
      <c r="J624" s="62" t="s">
        <v>250</v>
      </c>
      <c r="K624" s="62" t="s">
        <v>248</v>
      </c>
      <c r="L624" s="63" t="s">
        <v>1371</v>
      </c>
      <c r="M624">
        <v>2</v>
      </c>
    </row>
    <row r="625" spans="1:13" ht="16.5" thickBot="1" x14ac:dyDescent="0.3">
      <c r="A625" s="55" t="s">
        <v>1223</v>
      </c>
      <c r="B625" s="64" t="s">
        <v>265</v>
      </c>
      <c r="C625" s="64" t="s">
        <v>263</v>
      </c>
      <c r="D625" s="65" t="s">
        <v>264</v>
      </c>
      <c r="E625" s="58" t="s">
        <v>260</v>
      </c>
      <c r="F625" s="59" t="s">
        <v>261</v>
      </c>
      <c r="H625" s="55" t="s">
        <v>1223</v>
      </c>
      <c r="I625" s="61" t="s">
        <v>248</v>
      </c>
      <c r="J625" s="62" t="s">
        <v>249</v>
      </c>
      <c r="K625" s="62" t="s">
        <v>250</v>
      </c>
      <c r="L625" s="63" t="s">
        <v>261</v>
      </c>
      <c r="M625">
        <v>1</v>
      </c>
    </row>
    <row r="626" spans="1:13" ht="16.5" thickBot="1" x14ac:dyDescent="0.3">
      <c r="A626" s="55" t="s">
        <v>1224</v>
      </c>
      <c r="B626" s="74" t="s">
        <v>257</v>
      </c>
      <c r="C626" s="74" t="s">
        <v>258</v>
      </c>
      <c r="D626" s="75" t="s">
        <v>259</v>
      </c>
      <c r="E626" s="58" t="s">
        <v>260</v>
      </c>
      <c r="F626" s="59" t="s">
        <v>245</v>
      </c>
      <c r="H626" s="55" t="s">
        <v>1224</v>
      </c>
      <c r="I626" s="61" t="s">
        <v>248</v>
      </c>
      <c r="J626" s="62" t="s">
        <v>249</v>
      </c>
      <c r="K626" s="62" t="s">
        <v>250</v>
      </c>
      <c r="L626" s="67" t="s">
        <v>245</v>
      </c>
      <c r="M626">
        <v>1</v>
      </c>
    </row>
    <row r="627" spans="1:13" ht="16.5" thickBot="1" x14ac:dyDescent="0.3">
      <c r="A627" s="55" t="s">
        <v>1225</v>
      </c>
      <c r="B627" s="64" t="s">
        <v>263</v>
      </c>
      <c r="C627" s="64" t="s">
        <v>264</v>
      </c>
      <c r="D627" s="65" t="s">
        <v>265</v>
      </c>
      <c r="E627" s="58" t="s">
        <v>260</v>
      </c>
      <c r="F627" s="59" t="s">
        <v>267</v>
      </c>
      <c r="H627" s="55" t="s">
        <v>1225</v>
      </c>
      <c r="I627" s="61" t="s">
        <v>250</v>
      </c>
      <c r="J627" s="62" t="s">
        <v>248</v>
      </c>
      <c r="K627" s="62" t="s">
        <v>249</v>
      </c>
      <c r="L627" s="63" t="s">
        <v>267</v>
      </c>
      <c r="M627">
        <v>2</v>
      </c>
    </row>
    <row r="628" spans="1:13" ht="16.5" thickBot="1" x14ac:dyDescent="0.3">
      <c r="A628" s="55" t="s">
        <v>1226</v>
      </c>
      <c r="B628" s="74" t="s">
        <v>258</v>
      </c>
      <c r="C628" s="74" t="s">
        <v>259</v>
      </c>
      <c r="D628" s="75" t="s">
        <v>257</v>
      </c>
      <c r="E628" s="58" t="s">
        <v>260</v>
      </c>
      <c r="F628" s="59" t="s">
        <v>269</v>
      </c>
      <c r="H628" s="55" t="s">
        <v>1226</v>
      </c>
      <c r="I628" s="61" t="s">
        <v>250</v>
      </c>
      <c r="J628" s="62" t="s">
        <v>248</v>
      </c>
      <c r="K628" s="62" t="s">
        <v>249</v>
      </c>
      <c r="L628" s="81" t="s">
        <v>269</v>
      </c>
      <c r="M628">
        <v>1</v>
      </c>
    </row>
    <row r="629" spans="1:13" ht="16.5" thickBot="1" x14ac:dyDescent="0.3">
      <c r="A629" s="55" t="s">
        <v>1227</v>
      </c>
      <c r="B629" s="76" t="s">
        <v>264</v>
      </c>
      <c r="C629" s="76" t="s">
        <v>265</v>
      </c>
      <c r="D629" s="77" t="s">
        <v>263</v>
      </c>
      <c r="E629" s="58" t="s">
        <v>260</v>
      </c>
      <c r="F629" s="59" t="s">
        <v>271</v>
      </c>
      <c r="H629" s="55" t="s">
        <v>1227</v>
      </c>
      <c r="I629" s="79" t="s">
        <v>249</v>
      </c>
      <c r="J629" s="80" t="s">
        <v>250</v>
      </c>
      <c r="K629" s="80" t="s">
        <v>248</v>
      </c>
      <c r="L629" s="67" t="s">
        <v>1370</v>
      </c>
      <c r="M629">
        <v>2</v>
      </c>
    </row>
    <row r="630" spans="1:13" ht="16.5" thickBot="1" x14ac:dyDescent="0.3">
      <c r="A630" s="55" t="s">
        <v>1228</v>
      </c>
      <c r="B630" s="74" t="s">
        <v>259</v>
      </c>
      <c r="C630" s="74" t="s">
        <v>257</v>
      </c>
      <c r="D630" s="75" t="s">
        <v>258</v>
      </c>
      <c r="E630" s="58" t="s">
        <v>260</v>
      </c>
      <c r="F630" s="59" t="s">
        <v>273</v>
      </c>
      <c r="H630" s="55" t="s">
        <v>1228</v>
      </c>
      <c r="I630" s="61" t="s">
        <v>249</v>
      </c>
      <c r="J630" s="62" t="s">
        <v>250</v>
      </c>
      <c r="K630" s="62" t="s">
        <v>248</v>
      </c>
      <c r="L630" s="63" t="s">
        <v>273</v>
      </c>
      <c r="M630">
        <v>1</v>
      </c>
    </row>
    <row r="631" spans="1:13" ht="16.5" thickBot="1" x14ac:dyDescent="0.3">
      <c r="A631" s="55" t="s">
        <v>1229</v>
      </c>
      <c r="B631" s="64" t="s">
        <v>265</v>
      </c>
      <c r="C631" s="64" t="s">
        <v>263</v>
      </c>
      <c r="D631" s="65" t="s">
        <v>264</v>
      </c>
      <c r="E631" s="58" t="s">
        <v>260</v>
      </c>
      <c r="F631" s="59" t="s">
        <v>275</v>
      </c>
      <c r="H631" s="55" t="s">
        <v>1229</v>
      </c>
      <c r="I631" s="61" t="s">
        <v>248</v>
      </c>
      <c r="J631" s="62" t="s">
        <v>249</v>
      </c>
      <c r="K631" s="62" t="s">
        <v>250</v>
      </c>
      <c r="L631" s="63" t="s">
        <v>1371</v>
      </c>
      <c r="M631">
        <v>2</v>
      </c>
    </row>
    <row r="632" spans="1:13" ht="16.5" thickBot="1" x14ac:dyDescent="0.3">
      <c r="A632" s="55" t="s">
        <v>1230</v>
      </c>
      <c r="B632" s="74" t="s">
        <v>257</v>
      </c>
      <c r="C632" s="74" t="s">
        <v>258</v>
      </c>
      <c r="D632" s="75" t="s">
        <v>259</v>
      </c>
      <c r="E632" s="58" t="s">
        <v>260</v>
      </c>
      <c r="F632" s="59" t="s">
        <v>261</v>
      </c>
      <c r="H632" s="55" t="s">
        <v>1230</v>
      </c>
      <c r="I632" s="61" t="s">
        <v>248</v>
      </c>
      <c r="J632" s="62" t="s">
        <v>249</v>
      </c>
      <c r="K632" s="62" t="s">
        <v>250</v>
      </c>
      <c r="L632" s="67" t="s">
        <v>261</v>
      </c>
      <c r="M632">
        <v>1</v>
      </c>
    </row>
    <row r="633" spans="1:13" ht="16.5" thickBot="1" x14ac:dyDescent="0.3">
      <c r="A633" s="55" t="s">
        <v>1231</v>
      </c>
      <c r="B633" s="64" t="s">
        <v>263</v>
      </c>
      <c r="C633" s="64" t="s">
        <v>264</v>
      </c>
      <c r="D633" s="65" t="s">
        <v>265</v>
      </c>
      <c r="E633" s="58" t="s">
        <v>260</v>
      </c>
      <c r="F633" s="59" t="s">
        <v>245</v>
      </c>
      <c r="H633" s="55" t="s">
        <v>1231</v>
      </c>
      <c r="I633" s="61" t="s">
        <v>250</v>
      </c>
      <c r="J633" s="62" t="s">
        <v>248</v>
      </c>
      <c r="K633" s="62" t="s">
        <v>249</v>
      </c>
      <c r="L633" s="63" t="s">
        <v>245</v>
      </c>
      <c r="M633">
        <v>1</v>
      </c>
    </row>
    <row r="634" spans="1:13" ht="16.5" thickBot="1" x14ac:dyDescent="0.3">
      <c r="A634" s="55" t="s">
        <v>1232</v>
      </c>
      <c r="B634" s="74" t="s">
        <v>258</v>
      </c>
      <c r="C634" s="74" t="s">
        <v>259</v>
      </c>
      <c r="D634" s="75" t="s">
        <v>257</v>
      </c>
      <c r="E634" s="58" t="s">
        <v>260</v>
      </c>
      <c r="F634" s="59" t="s">
        <v>267</v>
      </c>
      <c r="H634" s="55" t="s">
        <v>1232</v>
      </c>
      <c r="I634" s="61" t="s">
        <v>250</v>
      </c>
      <c r="J634" s="62" t="s">
        <v>248</v>
      </c>
      <c r="K634" s="62" t="s">
        <v>249</v>
      </c>
      <c r="L634" s="81" t="s">
        <v>267</v>
      </c>
      <c r="M634">
        <v>2</v>
      </c>
    </row>
    <row r="635" spans="1:13" ht="16.5" thickBot="1" x14ac:dyDescent="0.3">
      <c r="A635" s="55" t="s">
        <v>1233</v>
      </c>
      <c r="B635" s="76" t="s">
        <v>264</v>
      </c>
      <c r="C635" s="76" t="s">
        <v>265</v>
      </c>
      <c r="D635" s="77" t="s">
        <v>263</v>
      </c>
      <c r="E635" s="58" t="s">
        <v>260</v>
      </c>
      <c r="F635" s="59" t="s">
        <v>269</v>
      </c>
      <c r="H635" s="55" t="s">
        <v>1233</v>
      </c>
      <c r="I635" s="79" t="s">
        <v>249</v>
      </c>
      <c r="J635" s="80" t="s">
        <v>250</v>
      </c>
      <c r="K635" s="80" t="s">
        <v>248</v>
      </c>
      <c r="L635" s="67" t="s">
        <v>269</v>
      </c>
      <c r="M635">
        <v>1</v>
      </c>
    </row>
    <row r="636" spans="1:13" ht="16.5" thickBot="1" x14ac:dyDescent="0.3">
      <c r="A636" s="55" t="s">
        <v>1234</v>
      </c>
      <c r="B636" s="74" t="s">
        <v>259</v>
      </c>
      <c r="C636" s="74" t="s">
        <v>257</v>
      </c>
      <c r="D636" s="75" t="s">
        <v>258</v>
      </c>
      <c r="E636" s="58" t="s">
        <v>260</v>
      </c>
      <c r="F636" s="59" t="s">
        <v>271</v>
      </c>
      <c r="H636" s="55" t="s">
        <v>1234</v>
      </c>
      <c r="I636" s="61" t="s">
        <v>249</v>
      </c>
      <c r="J636" s="62" t="s">
        <v>250</v>
      </c>
      <c r="K636" s="62" t="s">
        <v>248</v>
      </c>
      <c r="L636" s="63" t="s">
        <v>1370</v>
      </c>
      <c r="M636">
        <v>2</v>
      </c>
    </row>
    <row r="637" spans="1:13" ht="16.5" thickBot="1" x14ac:dyDescent="0.3">
      <c r="A637" s="55" t="s">
        <v>1235</v>
      </c>
      <c r="B637" s="64" t="s">
        <v>265</v>
      </c>
      <c r="C637" s="64" t="s">
        <v>263</v>
      </c>
      <c r="D637" s="65" t="s">
        <v>264</v>
      </c>
      <c r="E637" s="58" t="s">
        <v>260</v>
      </c>
      <c r="F637" s="59" t="s">
        <v>273</v>
      </c>
      <c r="H637" s="55" t="s">
        <v>1235</v>
      </c>
      <c r="I637" s="61" t="s">
        <v>248</v>
      </c>
      <c r="J637" s="62" t="s">
        <v>249</v>
      </c>
      <c r="K637" s="62" t="s">
        <v>250</v>
      </c>
      <c r="L637" s="63" t="s">
        <v>273</v>
      </c>
      <c r="M637">
        <v>1</v>
      </c>
    </row>
    <row r="638" spans="1:13" ht="16.5" thickBot="1" x14ac:dyDescent="0.3">
      <c r="A638" s="55" t="s">
        <v>1236</v>
      </c>
      <c r="B638" s="74" t="s">
        <v>257</v>
      </c>
      <c r="C638" s="74" t="s">
        <v>258</v>
      </c>
      <c r="D638" s="75" t="s">
        <v>259</v>
      </c>
      <c r="E638" s="58" t="s">
        <v>260</v>
      </c>
      <c r="F638" s="59" t="s">
        <v>275</v>
      </c>
      <c r="H638" s="55" t="s">
        <v>1236</v>
      </c>
      <c r="I638" s="61" t="s">
        <v>248</v>
      </c>
      <c r="J638" s="62" t="s">
        <v>249</v>
      </c>
      <c r="K638" s="62" t="s">
        <v>250</v>
      </c>
      <c r="L638" s="67" t="s">
        <v>1371</v>
      </c>
      <c r="M638">
        <v>2</v>
      </c>
    </row>
    <row r="639" spans="1:13" ht="16.5" thickBot="1" x14ac:dyDescent="0.3">
      <c r="A639" s="55" t="s">
        <v>1237</v>
      </c>
      <c r="B639" s="64" t="s">
        <v>263</v>
      </c>
      <c r="C639" s="64" t="s">
        <v>264</v>
      </c>
      <c r="D639" s="65" t="s">
        <v>265</v>
      </c>
      <c r="E639" s="58" t="s">
        <v>260</v>
      </c>
      <c r="F639" s="59" t="s">
        <v>261</v>
      </c>
      <c r="H639" s="55" t="s">
        <v>1237</v>
      </c>
      <c r="I639" s="61" t="s">
        <v>250</v>
      </c>
      <c r="J639" s="62" t="s">
        <v>248</v>
      </c>
      <c r="K639" s="62" t="s">
        <v>249</v>
      </c>
      <c r="L639" s="63" t="s">
        <v>261</v>
      </c>
      <c r="M639">
        <v>1</v>
      </c>
    </row>
    <row r="640" spans="1:13" ht="16.5" thickBot="1" x14ac:dyDescent="0.3">
      <c r="A640" s="55" t="s">
        <v>1238</v>
      </c>
      <c r="B640" s="74" t="s">
        <v>258</v>
      </c>
      <c r="C640" s="74" t="s">
        <v>259</v>
      </c>
      <c r="D640" s="75" t="s">
        <v>257</v>
      </c>
      <c r="E640" s="58" t="s">
        <v>260</v>
      </c>
      <c r="F640" s="59" t="s">
        <v>245</v>
      </c>
      <c r="H640" s="55" t="s">
        <v>1238</v>
      </c>
      <c r="I640" s="61" t="s">
        <v>250</v>
      </c>
      <c r="J640" s="62" t="s">
        <v>248</v>
      </c>
      <c r="K640" s="62" t="s">
        <v>249</v>
      </c>
      <c r="L640" s="81" t="s">
        <v>245</v>
      </c>
      <c r="M640">
        <v>1</v>
      </c>
    </row>
    <row r="641" spans="1:13" ht="16.5" thickBot="1" x14ac:dyDescent="0.3">
      <c r="A641" s="55" t="s">
        <v>1239</v>
      </c>
      <c r="B641" s="76" t="s">
        <v>264</v>
      </c>
      <c r="C641" s="76" t="s">
        <v>265</v>
      </c>
      <c r="D641" s="77" t="s">
        <v>263</v>
      </c>
      <c r="E641" s="58" t="s">
        <v>260</v>
      </c>
      <c r="F641" s="59" t="s">
        <v>267</v>
      </c>
      <c r="H641" s="55" t="s">
        <v>1239</v>
      </c>
      <c r="I641" s="79" t="s">
        <v>249</v>
      </c>
      <c r="J641" s="80" t="s">
        <v>250</v>
      </c>
      <c r="K641" s="80" t="s">
        <v>248</v>
      </c>
      <c r="L641" s="67" t="s">
        <v>267</v>
      </c>
      <c r="M641">
        <v>2</v>
      </c>
    </row>
    <row r="642" spans="1:13" ht="16.5" thickBot="1" x14ac:dyDescent="0.3">
      <c r="A642" s="55" t="s">
        <v>1240</v>
      </c>
      <c r="B642" s="74" t="s">
        <v>259</v>
      </c>
      <c r="C642" s="74" t="s">
        <v>257</v>
      </c>
      <c r="D642" s="75" t="s">
        <v>258</v>
      </c>
      <c r="E642" s="58" t="s">
        <v>260</v>
      </c>
      <c r="F642" s="59" t="s">
        <v>269</v>
      </c>
      <c r="H642" s="55" t="s">
        <v>1240</v>
      </c>
      <c r="I642" s="61" t="s">
        <v>249</v>
      </c>
      <c r="J642" s="62" t="s">
        <v>250</v>
      </c>
      <c r="K642" s="62" t="s">
        <v>248</v>
      </c>
      <c r="L642" s="63" t="s">
        <v>269</v>
      </c>
      <c r="M642">
        <v>1</v>
      </c>
    </row>
    <row r="643" spans="1:13" ht="16.5" thickBot="1" x14ac:dyDescent="0.3">
      <c r="A643" s="55" t="s">
        <v>1241</v>
      </c>
      <c r="B643" s="64" t="s">
        <v>265</v>
      </c>
      <c r="C643" s="64" t="s">
        <v>263</v>
      </c>
      <c r="D643" s="65" t="s">
        <v>264</v>
      </c>
      <c r="E643" s="58" t="s">
        <v>260</v>
      </c>
      <c r="F643" s="59" t="s">
        <v>271</v>
      </c>
      <c r="H643" s="55" t="s">
        <v>1241</v>
      </c>
      <c r="I643" s="61" t="s">
        <v>248</v>
      </c>
      <c r="J643" s="62" t="s">
        <v>249</v>
      </c>
      <c r="K643" s="62" t="s">
        <v>250</v>
      </c>
      <c r="L643" s="63" t="s">
        <v>1370</v>
      </c>
      <c r="M643">
        <v>2</v>
      </c>
    </row>
    <row r="644" spans="1:13" ht="16.5" thickBot="1" x14ac:dyDescent="0.3">
      <c r="A644" s="55" t="s">
        <v>1242</v>
      </c>
      <c r="B644" s="74" t="s">
        <v>257</v>
      </c>
      <c r="C644" s="74" t="s">
        <v>258</v>
      </c>
      <c r="D644" s="75" t="s">
        <v>259</v>
      </c>
      <c r="E644" s="58" t="s">
        <v>260</v>
      </c>
      <c r="F644" s="59" t="s">
        <v>273</v>
      </c>
      <c r="H644" s="55" t="s">
        <v>1242</v>
      </c>
      <c r="I644" s="61" t="s">
        <v>248</v>
      </c>
      <c r="J644" s="62" t="s">
        <v>249</v>
      </c>
      <c r="K644" s="62" t="s">
        <v>250</v>
      </c>
      <c r="L644" s="67" t="s">
        <v>273</v>
      </c>
      <c r="M644">
        <v>1</v>
      </c>
    </row>
    <row r="645" spans="1:13" ht="16.5" thickBot="1" x14ac:dyDescent="0.3">
      <c r="A645" s="55" t="s">
        <v>1243</v>
      </c>
      <c r="B645" s="64" t="s">
        <v>263</v>
      </c>
      <c r="C645" s="64" t="s">
        <v>264</v>
      </c>
      <c r="D645" s="65" t="s">
        <v>265</v>
      </c>
      <c r="E645" s="58" t="s">
        <v>260</v>
      </c>
      <c r="F645" s="59" t="s">
        <v>275</v>
      </c>
      <c r="H645" s="55" t="s">
        <v>1243</v>
      </c>
      <c r="I645" s="61" t="s">
        <v>250</v>
      </c>
      <c r="J645" s="62" t="s">
        <v>248</v>
      </c>
      <c r="K645" s="62" t="s">
        <v>249</v>
      </c>
      <c r="L645" s="63" t="s">
        <v>1371</v>
      </c>
      <c r="M645">
        <v>2</v>
      </c>
    </row>
    <row r="646" spans="1:13" ht="16.5" thickBot="1" x14ac:dyDescent="0.3">
      <c r="A646" s="55" t="s">
        <v>1244</v>
      </c>
      <c r="B646" s="74" t="s">
        <v>258</v>
      </c>
      <c r="C646" s="74" t="s">
        <v>259</v>
      </c>
      <c r="D646" s="75" t="s">
        <v>257</v>
      </c>
      <c r="E646" s="58" t="s">
        <v>260</v>
      </c>
      <c r="F646" s="59" t="s">
        <v>261</v>
      </c>
      <c r="H646" s="55" t="s">
        <v>1244</v>
      </c>
      <c r="I646" s="61" t="s">
        <v>250</v>
      </c>
      <c r="J646" s="62" t="s">
        <v>248</v>
      </c>
      <c r="K646" s="62" t="s">
        <v>249</v>
      </c>
      <c r="L646" s="81" t="s">
        <v>261</v>
      </c>
      <c r="M646">
        <v>1</v>
      </c>
    </row>
    <row r="647" spans="1:13" ht="16.5" thickBot="1" x14ac:dyDescent="0.3">
      <c r="A647" s="55" t="s">
        <v>1245</v>
      </c>
      <c r="B647" s="76" t="s">
        <v>264</v>
      </c>
      <c r="C647" s="76" t="s">
        <v>265</v>
      </c>
      <c r="D647" s="77" t="s">
        <v>263</v>
      </c>
      <c r="E647" s="58" t="s">
        <v>260</v>
      </c>
      <c r="F647" s="59" t="s">
        <v>245</v>
      </c>
      <c r="H647" s="55" t="s">
        <v>1245</v>
      </c>
      <c r="I647" s="79" t="s">
        <v>249</v>
      </c>
      <c r="J647" s="80" t="s">
        <v>250</v>
      </c>
      <c r="K647" s="80" t="s">
        <v>248</v>
      </c>
      <c r="L647" s="67" t="s">
        <v>245</v>
      </c>
      <c r="M647">
        <v>1</v>
      </c>
    </row>
    <row r="648" spans="1:13" ht="16.5" thickBot="1" x14ac:dyDescent="0.3">
      <c r="A648" s="55" t="s">
        <v>1246</v>
      </c>
      <c r="B648" s="74" t="s">
        <v>259</v>
      </c>
      <c r="C648" s="74" t="s">
        <v>257</v>
      </c>
      <c r="D648" s="75" t="s">
        <v>258</v>
      </c>
      <c r="E648" s="58" t="s">
        <v>260</v>
      </c>
      <c r="F648" s="59" t="s">
        <v>267</v>
      </c>
      <c r="H648" s="55" t="s">
        <v>1246</v>
      </c>
      <c r="I648" s="61" t="s">
        <v>249</v>
      </c>
      <c r="J648" s="62" t="s">
        <v>250</v>
      </c>
      <c r="K648" s="62" t="s">
        <v>248</v>
      </c>
      <c r="L648" s="63" t="s">
        <v>267</v>
      </c>
      <c r="M648">
        <v>2</v>
      </c>
    </row>
    <row r="649" spans="1:13" ht="16.5" thickBot="1" x14ac:dyDescent="0.3">
      <c r="A649" s="55" t="s">
        <v>1247</v>
      </c>
      <c r="B649" s="64" t="s">
        <v>265</v>
      </c>
      <c r="C649" s="64" t="s">
        <v>263</v>
      </c>
      <c r="D649" s="65" t="s">
        <v>264</v>
      </c>
      <c r="E649" s="58" t="s">
        <v>260</v>
      </c>
      <c r="F649" s="59" t="s">
        <v>269</v>
      </c>
      <c r="H649" s="55" t="s">
        <v>1247</v>
      </c>
      <c r="I649" s="61" t="s">
        <v>248</v>
      </c>
      <c r="J649" s="62" t="s">
        <v>249</v>
      </c>
      <c r="K649" s="62" t="s">
        <v>250</v>
      </c>
      <c r="L649" s="63" t="s">
        <v>269</v>
      </c>
      <c r="M649">
        <v>1</v>
      </c>
    </row>
    <row r="650" spans="1:13" ht="16.5" thickBot="1" x14ac:dyDescent="0.3">
      <c r="A650" s="55" t="s">
        <v>1248</v>
      </c>
      <c r="B650" s="74" t="s">
        <v>257</v>
      </c>
      <c r="C650" s="74" t="s">
        <v>258</v>
      </c>
      <c r="D650" s="75" t="s">
        <v>259</v>
      </c>
      <c r="E650" s="58" t="s">
        <v>260</v>
      </c>
      <c r="F650" s="59" t="s">
        <v>271</v>
      </c>
      <c r="H650" s="55" t="s">
        <v>1248</v>
      </c>
      <c r="I650" s="61" t="s">
        <v>248</v>
      </c>
      <c r="J650" s="62" t="s">
        <v>249</v>
      </c>
      <c r="K650" s="62" t="s">
        <v>250</v>
      </c>
      <c r="L650" s="67" t="s">
        <v>1370</v>
      </c>
      <c r="M650">
        <v>2</v>
      </c>
    </row>
    <row r="651" spans="1:13" ht="16.5" thickBot="1" x14ac:dyDescent="0.3">
      <c r="A651" s="55" t="s">
        <v>1249</v>
      </c>
      <c r="B651" s="64" t="s">
        <v>263</v>
      </c>
      <c r="C651" s="64" t="s">
        <v>264</v>
      </c>
      <c r="D651" s="65" t="s">
        <v>265</v>
      </c>
      <c r="E651" s="58" t="s">
        <v>260</v>
      </c>
      <c r="F651" s="59" t="s">
        <v>273</v>
      </c>
      <c r="H651" s="55" t="s">
        <v>1249</v>
      </c>
      <c r="I651" s="61" t="s">
        <v>250</v>
      </c>
      <c r="J651" s="62" t="s">
        <v>248</v>
      </c>
      <c r="K651" s="62" t="s">
        <v>249</v>
      </c>
      <c r="L651" s="63" t="s">
        <v>273</v>
      </c>
      <c r="M651">
        <v>1</v>
      </c>
    </row>
    <row r="652" spans="1:13" ht="16.5" thickBot="1" x14ac:dyDescent="0.3">
      <c r="A652" s="55" t="s">
        <v>1250</v>
      </c>
      <c r="B652" s="74" t="s">
        <v>258</v>
      </c>
      <c r="C652" s="74" t="s">
        <v>259</v>
      </c>
      <c r="D652" s="75" t="s">
        <v>257</v>
      </c>
      <c r="E652" s="58" t="s">
        <v>260</v>
      </c>
      <c r="F652" s="59" t="s">
        <v>275</v>
      </c>
      <c r="H652" s="55" t="s">
        <v>1250</v>
      </c>
      <c r="I652" s="61" t="s">
        <v>250</v>
      </c>
      <c r="J652" s="62" t="s">
        <v>248</v>
      </c>
      <c r="K652" s="62" t="s">
        <v>249</v>
      </c>
      <c r="L652" s="81" t="s">
        <v>1371</v>
      </c>
      <c r="M652">
        <v>2</v>
      </c>
    </row>
    <row r="653" spans="1:13" ht="16.5" thickBot="1" x14ac:dyDescent="0.3">
      <c r="A653" s="55" t="s">
        <v>1251</v>
      </c>
      <c r="B653" s="76" t="s">
        <v>264</v>
      </c>
      <c r="C653" s="76" t="s">
        <v>265</v>
      </c>
      <c r="D653" s="77" t="s">
        <v>263</v>
      </c>
      <c r="E653" s="58" t="s">
        <v>260</v>
      </c>
      <c r="F653" s="59" t="s">
        <v>261</v>
      </c>
      <c r="H653" s="55" t="s">
        <v>1251</v>
      </c>
      <c r="I653" s="79" t="s">
        <v>249</v>
      </c>
      <c r="J653" s="80" t="s">
        <v>250</v>
      </c>
      <c r="K653" s="80" t="s">
        <v>248</v>
      </c>
      <c r="L653" s="67" t="s">
        <v>261</v>
      </c>
      <c r="M653">
        <v>1</v>
      </c>
    </row>
    <row r="654" spans="1:13" ht="16.5" thickBot="1" x14ac:dyDescent="0.3">
      <c r="A654" s="55" t="s">
        <v>1252</v>
      </c>
      <c r="B654" s="74" t="s">
        <v>259</v>
      </c>
      <c r="C654" s="74" t="s">
        <v>257</v>
      </c>
      <c r="D654" s="75" t="s">
        <v>258</v>
      </c>
      <c r="E654" s="58" t="s">
        <v>260</v>
      </c>
      <c r="F654" s="59" t="s">
        <v>245</v>
      </c>
      <c r="H654" s="55" t="s">
        <v>1252</v>
      </c>
      <c r="I654" s="61" t="s">
        <v>249</v>
      </c>
      <c r="J654" s="62" t="s">
        <v>250</v>
      </c>
      <c r="K654" s="62" t="s">
        <v>248</v>
      </c>
      <c r="L654" s="63" t="s">
        <v>245</v>
      </c>
      <c r="M654">
        <v>1</v>
      </c>
    </row>
    <row r="655" spans="1:13" ht="16.5" thickBot="1" x14ac:dyDescent="0.3">
      <c r="A655" s="55" t="s">
        <v>1253</v>
      </c>
      <c r="B655" s="64" t="s">
        <v>265</v>
      </c>
      <c r="C655" s="64" t="s">
        <v>263</v>
      </c>
      <c r="D655" s="65" t="s">
        <v>264</v>
      </c>
      <c r="E655" s="58" t="s">
        <v>260</v>
      </c>
      <c r="F655" s="59" t="s">
        <v>267</v>
      </c>
      <c r="H655" s="55" t="s">
        <v>1253</v>
      </c>
      <c r="I655" s="61" t="s">
        <v>248</v>
      </c>
      <c r="J655" s="62" t="s">
        <v>249</v>
      </c>
      <c r="K655" s="62" t="s">
        <v>250</v>
      </c>
      <c r="L655" s="63" t="s">
        <v>267</v>
      </c>
      <c r="M655">
        <v>2</v>
      </c>
    </row>
    <row r="656" spans="1:13" ht="16.5" thickBot="1" x14ac:dyDescent="0.3">
      <c r="A656" s="55" t="s">
        <v>1254</v>
      </c>
      <c r="B656" s="74" t="s">
        <v>257</v>
      </c>
      <c r="C656" s="74" t="s">
        <v>258</v>
      </c>
      <c r="D656" s="75" t="s">
        <v>259</v>
      </c>
      <c r="E656" s="58" t="s">
        <v>260</v>
      </c>
      <c r="F656" s="59" t="s">
        <v>269</v>
      </c>
      <c r="H656" s="55" t="s">
        <v>1254</v>
      </c>
      <c r="I656" s="61" t="s">
        <v>248</v>
      </c>
      <c r="J656" s="62" t="s">
        <v>249</v>
      </c>
      <c r="K656" s="62" t="s">
        <v>250</v>
      </c>
      <c r="L656" s="67" t="s">
        <v>269</v>
      </c>
      <c r="M656">
        <v>1</v>
      </c>
    </row>
    <row r="657" spans="1:13" ht="16.5" thickBot="1" x14ac:dyDescent="0.3">
      <c r="A657" s="55" t="s">
        <v>1255</v>
      </c>
      <c r="B657" s="64" t="s">
        <v>263</v>
      </c>
      <c r="C657" s="64" t="s">
        <v>264</v>
      </c>
      <c r="D657" s="65" t="s">
        <v>265</v>
      </c>
      <c r="E657" s="58" t="s">
        <v>260</v>
      </c>
      <c r="F657" s="59" t="s">
        <v>271</v>
      </c>
      <c r="H657" s="55" t="s">
        <v>1255</v>
      </c>
      <c r="I657" s="61" t="s">
        <v>250</v>
      </c>
      <c r="J657" s="62" t="s">
        <v>248</v>
      </c>
      <c r="K657" s="62" t="s">
        <v>249</v>
      </c>
      <c r="L657" s="63" t="s">
        <v>1370</v>
      </c>
      <c r="M657">
        <v>2</v>
      </c>
    </row>
    <row r="658" spans="1:13" ht="16.5" thickBot="1" x14ac:dyDescent="0.3">
      <c r="A658" s="55" t="s">
        <v>1256</v>
      </c>
      <c r="B658" s="74" t="s">
        <v>258</v>
      </c>
      <c r="C658" s="74" t="s">
        <v>259</v>
      </c>
      <c r="D658" s="75" t="s">
        <v>257</v>
      </c>
      <c r="E658" s="58" t="s">
        <v>260</v>
      </c>
      <c r="F658" s="59" t="s">
        <v>273</v>
      </c>
      <c r="H658" s="55" t="s">
        <v>1256</v>
      </c>
      <c r="I658" s="61" t="s">
        <v>250</v>
      </c>
      <c r="J658" s="62" t="s">
        <v>248</v>
      </c>
      <c r="K658" s="62" t="s">
        <v>249</v>
      </c>
      <c r="L658" s="81" t="s">
        <v>273</v>
      </c>
      <c r="M658">
        <v>1</v>
      </c>
    </row>
    <row r="659" spans="1:13" ht="16.5" thickBot="1" x14ac:dyDescent="0.3">
      <c r="A659" s="55" t="s">
        <v>1257</v>
      </c>
      <c r="B659" s="76" t="s">
        <v>264</v>
      </c>
      <c r="C659" s="76" t="s">
        <v>265</v>
      </c>
      <c r="D659" s="77" t="s">
        <v>263</v>
      </c>
      <c r="E659" s="58" t="s">
        <v>260</v>
      </c>
      <c r="F659" s="59" t="s">
        <v>275</v>
      </c>
      <c r="H659" s="55" t="s">
        <v>1257</v>
      </c>
      <c r="I659" s="79" t="s">
        <v>249</v>
      </c>
      <c r="J659" s="80" t="s">
        <v>250</v>
      </c>
      <c r="K659" s="80" t="s">
        <v>248</v>
      </c>
      <c r="L659" s="67" t="s">
        <v>1371</v>
      </c>
      <c r="M659">
        <v>2</v>
      </c>
    </row>
    <row r="660" spans="1:13" ht="16.5" thickBot="1" x14ac:dyDescent="0.3">
      <c r="A660" s="55" t="s">
        <v>1258</v>
      </c>
      <c r="B660" s="74" t="s">
        <v>259</v>
      </c>
      <c r="C660" s="74" t="s">
        <v>257</v>
      </c>
      <c r="D660" s="75" t="s">
        <v>258</v>
      </c>
      <c r="E660" s="58" t="s">
        <v>260</v>
      </c>
      <c r="F660" s="59" t="s">
        <v>261</v>
      </c>
      <c r="H660" s="55" t="s">
        <v>1258</v>
      </c>
      <c r="I660" s="61" t="s">
        <v>249</v>
      </c>
      <c r="J660" s="62" t="s">
        <v>250</v>
      </c>
      <c r="K660" s="62" t="s">
        <v>248</v>
      </c>
      <c r="L660" s="63" t="s">
        <v>261</v>
      </c>
      <c r="M660">
        <v>1</v>
      </c>
    </row>
    <row r="661" spans="1:13" ht="16.5" thickBot="1" x14ac:dyDescent="0.3">
      <c r="A661" s="55" t="s">
        <v>1259</v>
      </c>
      <c r="B661" s="64" t="s">
        <v>265</v>
      </c>
      <c r="C661" s="64" t="s">
        <v>263</v>
      </c>
      <c r="D661" s="65" t="s">
        <v>264</v>
      </c>
      <c r="E661" s="58" t="s">
        <v>260</v>
      </c>
      <c r="F661" s="59" t="s">
        <v>245</v>
      </c>
      <c r="H661" s="55" t="s">
        <v>1259</v>
      </c>
      <c r="I661" s="61" t="s">
        <v>248</v>
      </c>
      <c r="J661" s="62" t="s">
        <v>249</v>
      </c>
      <c r="K661" s="62" t="s">
        <v>250</v>
      </c>
      <c r="L661" s="63" t="s">
        <v>245</v>
      </c>
      <c r="M661">
        <v>1</v>
      </c>
    </row>
    <row r="662" spans="1:13" ht="16.5" thickBot="1" x14ac:dyDescent="0.3">
      <c r="A662" s="55" t="s">
        <v>1260</v>
      </c>
      <c r="B662" s="74" t="s">
        <v>257</v>
      </c>
      <c r="C662" s="74" t="s">
        <v>258</v>
      </c>
      <c r="D662" s="75" t="s">
        <v>259</v>
      </c>
      <c r="E662" s="58" t="s">
        <v>260</v>
      </c>
      <c r="F662" s="59" t="s">
        <v>267</v>
      </c>
      <c r="H662" s="55" t="s">
        <v>1260</v>
      </c>
      <c r="I662" s="61" t="s">
        <v>248</v>
      </c>
      <c r="J662" s="62" t="s">
        <v>249</v>
      </c>
      <c r="K662" s="62" t="s">
        <v>250</v>
      </c>
      <c r="L662" s="67" t="s">
        <v>267</v>
      </c>
      <c r="M662">
        <v>2</v>
      </c>
    </row>
    <row r="663" spans="1:13" ht="16.5" thickBot="1" x14ac:dyDescent="0.3">
      <c r="A663" s="55" t="s">
        <v>1261</v>
      </c>
      <c r="B663" s="64" t="s">
        <v>263</v>
      </c>
      <c r="C663" s="64" t="s">
        <v>264</v>
      </c>
      <c r="D663" s="65" t="s">
        <v>265</v>
      </c>
      <c r="E663" s="58" t="s">
        <v>260</v>
      </c>
      <c r="F663" s="59" t="s">
        <v>269</v>
      </c>
      <c r="H663" s="55" t="s">
        <v>1261</v>
      </c>
      <c r="I663" s="61" t="s">
        <v>250</v>
      </c>
      <c r="J663" s="62" t="s">
        <v>248</v>
      </c>
      <c r="K663" s="62" t="s">
        <v>249</v>
      </c>
      <c r="L663" s="63" t="s">
        <v>269</v>
      </c>
      <c r="M663">
        <v>1</v>
      </c>
    </row>
    <row r="664" spans="1:13" ht="16.5" thickBot="1" x14ac:dyDescent="0.3">
      <c r="A664" s="55" t="s">
        <v>1262</v>
      </c>
      <c r="B664" s="74" t="s">
        <v>258</v>
      </c>
      <c r="C664" s="74" t="s">
        <v>259</v>
      </c>
      <c r="D664" s="75" t="s">
        <v>257</v>
      </c>
      <c r="E664" s="58" t="s">
        <v>260</v>
      </c>
      <c r="F664" s="59" t="s">
        <v>271</v>
      </c>
      <c r="H664" s="55" t="s">
        <v>1262</v>
      </c>
      <c r="I664" s="61" t="s">
        <v>250</v>
      </c>
      <c r="J664" s="62" t="s">
        <v>248</v>
      </c>
      <c r="K664" s="62" t="s">
        <v>249</v>
      </c>
      <c r="L664" s="81" t="s">
        <v>1370</v>
      </c>
      <c r="M664">
        <v>2</v>
      </c>
    </row>
    <row r="665" spans="1:13" ht="16.5" thickBot="1" x14ac:dyDescent="0.3">
      <c r="A665" s="55" t="s">
        <v>1263</v>
      </c>
      <c r="B665" s="76" t="s">
        <v>264</v>
      </c>
      <c r="C665" s="76" t="s">
        <v>265</v>
      </c>
      <c r="D665" s="77" t="s">
        <v>263</v>
      </c>
      <c r="E665" s="58" t="s">
        <v>260</v>
      </c>
      <c r="F665" s="59" t="s">
        <v>273</v>
      </c>
      <c r="H665" s="55" t="s">
        <v>1263</v>
      </c>
      <c r="I665" s="79" t="s">
        <v>249</v>
      </c>
      <c r="J665" s="80" t="s">
        <v>250</v>
      </c>
      <c r="K665" s="80" t="s">
        <v>248</v>
      </c>
      <c r="L665" s="67" t="s">
        <v>273</v>
      </c>
      <c r="M665">
        <v>1</v>
      </c>
    </row>
    <row r="666" spans="1:13" ht="16.5" thickBot="1" x14ac:dyDescent="0.3">
      <c r="A666" s="55" t="s">
        <v>1264</v>
      </c>
      <c r="B666" s="74" t="s">
        <v>259</v>
      </c>
      <c r="C666" s="74" t="s">
        <v>257</v>
      </c>
      <c r="D666" s="75" t="s">
        <v>258</v>
      </c>
      <c r="E666" s="58" t="s">
        <v>260</v>
      </c>
      <c r="F666" s="59" t="s">
        <v>275</v>
      </c>
      <c r="H666" s="55" t="s">
        <v>1264</v>
      </c>
      <c r="I666" s="61" t="s">
        <v>249</v>
      </c>
      <c r="J666" s="62" t="s">
        <v>250</v>
      </c>
      <c r="K666" s="62" t="s">
        <v>248</v>
      </c>
      <c r="L666" s="63" t="s">
        <v>1371</v>
      </c>
      <c r="M666">
        <v>2</v>
      </c>
    </row>
    <row r="667" spans="1:13" ht="16.5" thickBot="1" x14ac:dyDescent="0.3">
      <c r="A667" s="55" t="s">
        <v>1265</v>
      </c>
      <c r="B667" s="64" t="s">
        <v>265</v>
      </c>
      <c r="C667" s="64" t="s">
        <v>263</v>
      </c>
      <c r="D667" s="65" t="s">
        <v>264</v>
      </c>
      <c r="E667" s="58" t="s">
        <v>260</v>
      </c>
      <c r="F667" s="59" t="s">
        <v>261</v>
      </c>
      <c r="H667" s="55" t="s">
        <v>1265</v>
      </c>
      <c r="I667" s="61" t="s">
        <v>248</v>
      </c>
      <c r="J667" s="62" t="s">
        <v>249</v>
      </c>
      <c r="K667" s="62" t="s">
        <v>250</v>
      </c>
      <c r="L667" s="63" t="s">
        <v>261</v>
      </c>
      <c r="M667">
        <v>1</v>
      </c>
    </row>
    <row r="668" spans="1:13" ht="16.5" thickBot="1" x14ac:dyDescent="0.3">
      <c r="A668" s="55" t="s">
        <v>1266</v>
      </c>
      <c r="B668" s="74" t="s">
        <v>257</v>
      </c>
      <c r="C668" s="74" t="s">
        <v>258</v>
      </c>
      <c r="D668" s="75" t="s">
        <v>259</v>
      </c>
      <c r="E668" s="58" t="s">
        <v>260</v>
      </c>
      <c r="F668" s="59" t="s">
        <v>245</v>
      </c>
      <c r="H668" s="55" t="s">
        <v>1266</v>
      </c>
      <c r="I668" s="61" t="s">
        <v>248</v>
      </c>
      <c r="J668" s="62" t="s">
        <v>249</v>
      </c>
      <c r="K668" s="62" t="s">
        <v>250</v>
      </c>
      <c r="L668" s="67" t="s">
        <v>245</v>
      </c>
      <c r="M668">
        <v>1</v>
      </c>
    </row>
    <row r="669" spans="1:13" ht="16.5" thickBot="1" x14ac:dyDescent="0.3">
      <c r="A669" s="55" t="s">
        <v>1267</v>
      </c>
      <c r="B669" s="64" t="s">
        <v>263</v>
      </c>
      <c r="C669" s="64" t="s">
        <v>264</v>
      </c>
      <c r="D669" s="65" t="s">
        <v>265</v>
      </c>
      <c r="E669" s="58" t="s">
        <v>260</v>
      </c>
      <c r="F669" s="59" t="s">
        <v>267</v>
      </c>
      <c r="H669" s="55" t="s">
        <v>1267</v>
      </c>
      <c r="I669" s="61" t="s">
        <v>250</v>
      </c>
      <c r="J669" s="62" t="s">
        <v>248</v>
      </c>
      <c r="K669" s="62" t="s">
        <v>249</v>
      </c>
      <c r="L669" s="63" t="s">
        <v>267</v>
      </c>
      <c r="M669">
        <v>2</v>
      </c>
    </row>
    <row r="670" spans="1:13" ht="16.5" thickBot="1" x14ac:dyDescent="0.3">
      <c r="A670" s="55" t="s">
        <v>1268</v>
      </c>
      <c r="B670" s="74" t="s">
        <v>258</v>
      </c>
      <c r="C670" s="74" t="s">
        <v>259</v>
      </c>
      <c r="D670" s="75" t="s">
        <v>257</v>
      </c>
      <c r="E670" s="58" t="s">
        <v>260</v>
      </c>
      <c r="F670" s="59" t="s">
        <v>269</v>
      </c>
      <c r="H670" s="55" t="s">
        <v>1268</v>
      </c>
      <c r="I670" s="61" t="s">
        <v>250</v>
      </c>
      <c r="J670" s="62" t="s">
        <v>248</v>
      </c>
      <c r="K670" s="62" t="s">
        <v>249</v>
      </c>
      <c r="L670" s="81" t="s">
        <v>269</v>
      </c>
      <c r="M670">
        <v>1</v>
      </c>
    </row>
    <row r="671" spans="1:13" ht="16.5" thickBot="1" x14ac:dyDescent="0.3">
      <c r="A671" s="55" t="s">
        <v>1269</v>
      </c>
      <c r="B671" s="76" t="s">
        <v>264</v>
      </c>
      <c r="C671" s="76" t="s">
        <v>265</v>
      </c>
      <c r="D671" s="77" t="s">
        <v>263</v>
      </c>
      <c r="E671" s="58" t="s">
        <v>260</v>
      </c>
      <c r="F671" s="59" t="s">
        <v>271</v>
      </c>
      <c r="H671" s="55" t="s">
        <v>1269</v>
      </c>
      <c r="I671" s="79" t="s">
        <v>249</v>
      </c>
      <c r="J671" s="80" t="s">
        <v>250</v>
      </c>
      <c r="K671" s="80" t="s">
        <v>248</v>
      </c>
      <c r="L671" s="67" t="s">
        <v>1370</v>
      </c>
      <c r="M671">
        <v>2</v>
      </c>
    </row>
    <row r="672" spans="1:13" ht="16.5" thickBot="1" x14ac:dyDescent="0.3">
      <c r="A672" s="55" t="s">
        <v>1270</v>
      </c>
      <c r="B672" s="74" t="s">
        <v>259</v>
      </c>
      <c r="C672" s="74" t="s">
        <v>257</v>
      </c>
      <c r="D672" s="75" t="s">
        <v>258</v>
      </c>
      <c r="E672" s="58" t="s">
        <v>260</v>
      </c>
      <c r="F672" s="59" t="s">
        <v>273</v>
      </c>
      <c r="H672" s="55" t="s">
        <v>1270</v>
      </c>
      <c r="I672" s="61" t="s">
        <v>249</v>
      </c>
      <c r="J672" s="62" t="s">
        <v>250</v>
      </c>
      <c r="K672" s="62" t="s">
        <v>248</v>
      </c>
      <c r="L672" s="63" t="s">
        <v>273</v>
      </c>
      <c r="M672">
        <v>1</v>
      </c>
    </row>
    <row r="673" spans="1:13" ht="16.5" thickBot="1" x14ac:dyDescent="0.3">
      <c r="A673" s="55" t="s">
        <v>1271</v>
      </c>
      <c r="B673" s="64" t="s">
        <v>265</v>
      </c>
      <c r="C673" s="64" t="s">
        <v>263</v>
      </c>
      <c r="D673" s="65" t="s">
        <v>264</v>
      </c>
      <c r="E673" s="58" t="s">
        <v>260</v>
      </c>
      <c r="F673" s="59" t="s">
        <v>275</v>
      </c>
      <c r="H673" s="55" t="s">
        <v>1271</v>
      </c>
      <c r="I673" s="61" t="s">
        <v>248</v>
      </c>
      <c r="J673" s="62" t="s">
        <v>249</v>
      </c>
      <c r="K673" s="62" t="s">
        <v>250</v>
      </c>
      <c r="L673" s="63" t="s">
        <v>1371</v>
      </c>
      <c r="M673">
        <v>2</v>
      </c>
    </row>
    <row r="674" spans="1:13" ht="16.5" thickBot="1" x14ac:dyDescent="0.3">
      <c r="A674" s="55" t="s">
        <v>1272</v>
      </c>
      <c r="B674" s="74" t="s">
        <v>257</v>
      </c>
      <c r="C674" s="74" t="s">
        <v>258</v>
      </c>
      <c r="D674" s="75" t="s">
        <v>259</v>
      </c>
      <c r="E674" s="58" t="s">
        <v>260</v>
      </c>
      <c r="F674" s="59" t="s">
        <v>261</v>
      </c>
      <c r="H674" s="55" t="s">
        <v>1272</v>
      </c>
      <c r="I674" s="61" t="s">
        <v>248</v>
      </c>
      <c r="J674" s="62" t="s">
        <v>249</v>
      </c>
      <c r="K674" s="62" t="s">
        <v>250</v>
      </c>
      <c r="L674" s="67" t="s">
        <v>261</v>
      </c>
      <c r="M674">
        <v>1</v>
      </c>
    </row>
    <row r="675" spans="1:13" ht="16.5" thickBot="1" x14ac:dyDescent="0.3">
      <c r="A675" s="55" t="s">
        <v>1273</v>
      </c>
      <c r="B675" s="64" t="s">
        <v>263</v>
      </c>
      <c r="C675" s="64" t="s">
        <v>264</v>
      </c>
      <c r="D675" s="65" t="s">
        <v>265</v>
      </c>
      <c r="E675" s="58" t="s">
        <v>260</v>
      </c>
      <c r="F675" s="59" t="s">
        <v>245</v>
      </c>
      <c r="H675" s="55" t="s">
        <v>1273</v>
      </c>
      <c r="I675" s="61" t="s">
        <v>250</v>
      </c>
      <c r="J675" s="62" t="s">
        <v>248</v>
      </c>
      <c r="K675" s="62" t="s">
        <v>249</v>
      </c>
      <c r="L675" s="63" t="s">
        <v>245</v>
      </c>
      <c r="M675">
        <v>1</v>
      </c>
    </row>
    <row r="676" spans="1:13" ht="16.5" thickBot="1" x14ac:dyDescent="0.3">
      <c r="A676" s="55" t="s">
        <v>1274</v>
      </c>
      <c r="B676" s="74" t="s">
        <v>258</v>
      </c>
      <c r="C676" s="74" t="s">
        <v>259</v>
      </c>
      <c r="D676" s="75" t="s">
        <v>257</v>
      </c>
      <c r="E676" s="58" t="s">
        <v>260</v>
      </c>
      <c r="F676" s="59" t="s">
        <v>267</v>
      </c>
      <c r="H676" s="55" t="s">
        <v>1274</v>
      </c>
      <c r="I676" s="61" t="s">
        <v>250</v>
      </c>
      <c r="J676" s="62" t="s">
        <v>248</v>
      </c>
      <c r="K676" s="62" t="s">
        <v>249</v>
      </c>
      <c r="L676" s="81" t="s">
        <v>267</v>
      </c>
      <c r="M676">
        <v>2</v>
      </c>
    </row>
    <row r="677" spans="1:13" ht="16.5" thickBot="1" x14ac:dyDescent="0.3">
      <c r="A677" s="55" t="s">
        <v>1275</v>
      </c>
      <c r="B677" s="76" t="s">
        <v>264</v>
      </c>
      <c r="C677" s="76" t="s">
        <v>265</v>
      </c>
      <c r="D677" s="77" t="s">
        <v>263</v>
      </c>
      <c r="E677" s="58" t="s">
        <v>260</v>
      </c>
      <c r="F677" s="59" t="s">
        <v>269</v>
      </c>
      <c r="H677" s="55" t="s">
        <v>1275</v>
      </c>
      <c r="I677" s="79" t="s">
        <v>249</v>
      </c>
      <c r="J677" s="80" t="s">
        <v>250</v>
      </c>
      <c r="K677" s="80" t="s">
        <v>248</v>
      </c>
      <c r="L677" s="67" t="s">
        <v>269</v>
      </c>
      <c r="M677">
        <v>1</v>
      </c>
    </row>
    <row r="678" spans="1:13" ht="16.5" thickBot="1" x14ac:dyDescent="0.3">
      <c r="A678" s="55" t="s">
        <v>1276</v>
      </c>
      <c r="B678" s="74" t="s">
        <v>259</v>
      </c>
      <c r="C678" s="74" t="s">
        <v>257</v>
      </c>
      <c r="D678" s="75" t="s">
        <v>258</v>
      </c>
      <c r="E678" s="58" t="s">
        <v>260</v>
      </c>
      <c r="F678" s="59" t="s">
        <v>271</v>
      </c>
      <c r="H678" s="55" t="s">
        <v>1276</v>
      </c>
      <c r="I678" s="61" t="s">
        <v>249</v>
      </c>
      <c r="J678" s="62" t="s">
        <v>250</v>
      </c>
      <c r="K678" s="62" t="s">
        <v>248</v>
      </c>
      <c r="L678" s="63" t="s">
        <v>1370</v>
      </c>
      <c r="M678">
        <v>2</v>
      </c>
    </row>
    <row r="679" spans="1:13" ht="16.5" thickBot="1" x14ac:dyDescent="0.3">
      <c r="A679" s="55" t="s">
        <v>1277</v>
      </c>
      <c r="B679" s="64" t="s">
        <v>265</v>
      </c>
      <c r="C679" s="64" t="s">
        <v>263</v>
      </c>
      <c r="D679" s="65" t="s">
        <v>264</v>
      </c>
      <c r="E679" s="58" t="s">
        <v>260</v>
      </c>
      <c r="F679" s="59" t="s">
        <v>273</v>
      </c>
      <c r="H679" s="55" t="s">
        <v>1277</v>
      </c>
      <c r="I679" s="61" t="s">
        <v>248</v>
      </c>
      <c r="J679" s="62" t="s">
        <v>249</v>
      </c>
      <c r="K679" s="62" t="s">
        <v>250</v>
      </c>
      <c r="L679" s="63" t="s">
        <v>273</v>
      </c>
      <c r="M679">
        <v>1</v>
      </c>
    </row>
    <row r="680" spans="1:13" ht="16.5" thickBot="1" x14ac:dyDescent="0.3">
      <c r="A680" s="55" t="s">
        <v>1278</v>
      </c>
      <c r="B680" s="74" t="s">
        <v>257</v>
      </c>
      <c r="C680" s="74" t="s">
        <v>258</v>
      </c>
      <c r="D680" s="75" t="s">
        <v>259</v>
      </c>
      <c r="E680" s="58" t="s">
        <v>260</v>
      </c>
      <c r="F680" s="59" t="s">
        <v>275</v>
      </c>
      <c r="H680" s="55" t="s">
        <v>1278</v>
      </c>
      <c r="I680" s="61" t="s">
        <v>248</v>
      </c>
      <c r="J680" s="62" t="s">
        <v>249</v>
      </c>
      <c r="K680" s="62" t="s">
        <v>250</v>
      </c>
      <c r="L680" s="67" t="s">
        <v>1371</v>
      </c>
      <c r="M680">
        <v>2</v>
      </c>
    </row>
    <row r="681" spans="1:13" ht="16.5" thickBot="1" x14ac:dyDescent="0.3">
      <c r="A681" s="55" t="s">
        <v>1279</v>
      </c>
      <c r="B681" s="64" t="s">
        <v>263</v>
      </c>
      <c r="C681" s="64" t="s">
        <v>264</v>
      </c>
      <c r="D681" s="65" t="s">
        <v>265</v>
      </c>
      <c r="E681" s="58" t="s">
        <v>260</v>
      </c>
      <c r="F681" s="59" t="s">
        <v>261</v>
      </c>
      <c r="H681" s="55" t="s">
        <v>1279</v>
      </c>
      <c r="I681" s="61" t="s">
        <v>250</v>
      </c>
      <c r="J681" s="62" t="s">
        <v>248</v>
      </c>
      <c r="K681" s="62" t="s">
        <v>249</v>
      </c>
      <c r="L681" s="63" t="s">
        <v>261</v>
      </c>
      <c r="M681">
        <v>1</v>
      </c>
    </row>
    <row r="682" spans="1:13" ht="16.5" thickBot="1" x14ac:dyDescent="0.3">
      <c r="A682" s="55" t="s">
        <v>1280</v>
      </c>
      <c r="B682" s="74" t="s">
        <v>258</v>
      </c>
      <c r="C682" s="74" t="s">
        <v>259</v>
      </c>
      <c r="D682" s="75" t="s">
        <v>257</v>
      </c>
      <c r="E682" s="58" t="s">
        <v>260</v>
      </c>
      <c r="F682" s="59" t="s">
        <v>245</v>
      </c>
      <c r="H682" s="55" t="s">
        <v>1280</v>
      </c>
      <c r="I682" s="61" t="s">
        <v>250</v>
      </c>
      <c r="J682" s="62" t="s">
        <v>248</v>
      </c>
      <c r="K682" s="62" t="s">
        <v>249</v>
      </c>
      <c r="L682" s="81" t="s">
        <v>245</v>
      </c>
      <c r="M682">
        <v>1</v>
      </c>
    </row>
    <row r="683" spans="1:13" ht="16.5" thickBot="1" x14ac:dyDescent="0.3">
      <c r="A683" s="55" t="s">
        <v>1281</v>
      </c>
      <c r="B683" s="76" t="s">
        <v>264</v>
      </c>
      <c r="C683" s="76" t="s">
        <v>265</v>
      </c>
      <c r="D683" s="77" t="s">
        <v>263</v>
      </c>
      <c r="E683" s="58" t="s">
        <v>260</v>
      </c>
      <c r="F683" s="59" t="s">
        <v>267</v>
      </c>
      <c r="H683" s="55" t="s">
        <v>1281</v>
      </c>
      <c r="I683" s="79" t="s">
        <v>249</v>
      </c>
      <c r="J683" s="80" t="s">
        <v>250</v>
      </c>
      <c r="K683" s="80" t="s">
        <v>248</v>
      </c>
      <c r="L683" s="67" t="s">
        <v>267</v>
      </c>
      <c r="M683">
        <v>2</v>
      </c>
    </row>
    <row r="684" spans="1:13" ht="16.5" thickBot="1" x14ac:dyDescent="0.3">
      <c r="A684" s="55" t="s">
        <v>1282</v>
      </c>
      <c r="B684" s="74" t="s">
        <v>259</v>
      </c>
      <c r="C684" s="74" t="s">
        <v>257</v>
      </c>
      <c r="D684" s="75" t="s">
        <v>258</v>
      </c>
      <c r="E684" s="58" t="s">
        <v>260</v>
      </c>
      <c r="F684" s="59" t="s">
        <v>269</v>
      </c>
      <c r="H684" s="55" t="s">
        <v>1282</v>
      </c>
      <c r="I684" s="61" t="s">
        <v>249</v>
      </c>
      <c r="J684" s="62" t="s">
        <v>250</v>
      </c>
      <c r="K684" s="62" t="s">
        <v>248</v>
      </c>
      <c r="L684" s="63" t="s">
        <v>269</v>
      </c>
      <c r="M684">
        <v>1</v>
      </c>
    </row>
    <row r="685" spans="1:13" ht="16.5" thickBot="1" x14ac:dyDescent="0.3">
      <c r="A685" s="55" t="s">
        <v>1283</v>
      </c>
      <c r="B685" s="64" t="s">
        <v>265</v>
      </c>
      <c r="C685" s="64" t="s">
        <v>263</v>
      </c>
      <c r="D685" s="65" t="s">
        <v>264</v>
      </c>
      <c r="E685" s="58" t="s">
        <v>260</v>
      </c>
      <c r="F685" s="59" t="s">
        <v>271</v>
      </c>
      <c r="H685" s="55" t="s">
        <v>1283</v>
      </c>
      <c r="I685" s="61" t="s">
        <v>248</v>
      </c>
      <c r="J685" s="62" t="s">
        <v>249</v>
      </c>
      <c r="K685" s="62" t="s">
        <v>250</v>
      </c>
      <c r="L685" s="63" t="s">
        <v>1370</v>
      </c>
      <c r="M685">
        <v>2</v>
      </c>
    </row>
    <row r="686" spans="1:13" ht="16.5" thickBot="1" x14ac:dyDescent="0.3">
      <c r="A686" s="55" t="s">
        <v>1284</v>
      </c>
      <c r="B686" s="74" t="s">
        <v>257</v>
      </c>
      <c r="C686" s="74" t="s">
        <v>258</v>
      </c>
      <c r="D686" s="75" t="s">
        <v>259</v>
      </c>
      <c r="E686" s="58" t="s">
        <v>260</v>
      </c>
      <c r="F686" s="59" t="s">
        <v>273</v>
      </c>
      <c r="H686" s="55" t="s">
        <v>1284</v>
      </c>
      <c r="I686" s="61" t="s">
        <v>248</v>
      </c>
      <c r="J686" s="62" t="s">
        <v>249</v>
      </c>
      <c r="K686" s="62" t="s">
        <v>250</v>
      </c>
      <c r="L686" s="67" t="s">
        <v>273</v>
      </c>
      <c r="M686">
        <v>1</v>
      </c>
    </row>
    <row r="687" spans="1:13" ht="16.5" thickBot="1" x14ac:dyDescent="0.3">
      <c r="A687" s="55" t="s">
        <v>1285</v>
      </c>
      <c r="B687" s="64" t="s">
        <v>263</v>
      </c>
      <c r="C687" s="64" t="s">
        <v>264</v>
      </c>
      <c r="D687" s="65" t="s">
        <v>265</v>
      </c>
      <c r="E687" s="58" t="s">
        <v>260</v>
      </c>
      <c r="F687" s="59" t="s">
        <v>275</v>
      </c>
      <c r="H687" s="55" t="s">
        <v>1285</v>
      </c>
      <c r="I687" s="61" t="s">
        <v>250</v>
      </c>
      <c r="J687" s="62" t="s">
        <v>248</v>
      </c>
      <c r="K687" s="62" t="s">
        <v>249</v>
      </c>
      <c r="L687" s="63" t="s">
        <v>1371</v>
      </c>
      <c r="M687">
        <v>2</v>
      </c>
    </row>
    <row r="688" spans="1:13" ht="16.5" thickBot="1" x14ac:dyDescent="0.3">
      <c r="A688" s="55" t="s">
        <v>1286</v>
      </c>
      <c r="B688" s="74" t="s">
        <v>258</v>
      </c>
      <c r="C688" s="74" t="s">
        <v>259</v>
      </c>
      <c r="D688" s="75" t="s">
        <v>257</v>
      </c>
      <c r="E688" s="58" t="s">
        <v>260</v>
      </c>
      <c r="F688" s="59" t="s">
        <v>261</v>
      </c>
      <c r="H688" s="55" t="s">
        <v>1286</v>
      </c>
      <c r="I688" s="61" t="s">
        <v>250</v>
      </c>
      <c r="J688" s="62" t="s">
        <v>248</v>
      </c>
      <c r="K688" s="62" t="s">
        <v>249</v>
      </c>
      <c r="L688" s="81" t="s">
        <v>261</v>
      </c>
      <c r="M688">
        <v>1</v>
      </c>
    </row>
    <row r="689" spans="1:13" ht="16.5" thickBot="1" x14ac:dyDescent="0.3">
      <c r="A689" s="55" t="s">
        <v>1287</v>
      </c>
      <c r="B689" s="76" t="s">
        <v>264</v>
      </c>
      <c r="C689" s="76" t="s">
        <v>265</v>
      </c>
      <c r="D689" s="77" t="s">
        <v>263</v>
      </c>
      <c r="E689" s="58" t="s">
        <v>260</v>
      </c>
      <c r="F689" s="59" t="s">
        <v>245</v>
      </c>
      <c r="H689" s="55" t="s">
        <v>1287</v>
      </c>
      <c r="I689" s="79" t="s">
        <v>249</v>
      </c>
      <c r="J689" s="80" t="s">
        <v>250</v>
      </c>
      <c r="K689" s="80" t="s">
        <v>248</v>
      </c>
      <c r="L689" s="67" t="s">
        <v>245</v>
      </c>
      <c r="M689">
        <v>1</v>
      </c>
    </row>
    <row r="690" spans="1:13" ht="16.5" thickBot="1" x14ac:dyDescent="0.3">
      <c r="A690" s="55" t="s">
        <v>1288</v>
      </c>
      <c r="B690" s="74" t="s">
        <v>259</v>
      </c>
      <c r="C690" s="74" t="s">
        <v>257</v>
      </c>
      <c r="D690" s="75" t="s">
        <v>258</v>
      </c>
      <c r="E690" s="58" t="s">
        <v>260</v>
      </c>
      <c r="F690" s="59" t="s">
        <v>267</v>
      </c>
      <c r="H690" s="55" t="s">
        <v>1288</v>
      </c>
      <c r="I690" s="61" t="s">
        <v>249</v>
      </c>
      <c r="J690" s="62" t="s">
        <v>250</v>
      </c>
      <c r="K690" s="62" t="s">
        <v>248</v>
      </c>
      <c r="L690" s="63" t="s">
        <v>267</v>
      </c>
      <c r="M690">
        <v>2</v>
      </c>
    </row>
    <row r="691" spans="1:13" ht="16.5" thickBot="1" x14ac:dyDescent="0.3">
      <c r="A691" s="55" t="s">
        <v>1289</v>
      </c>
      <c r="B691" s="64" t="s">
        <v>265</v>
      </c>
      <c r="C691" s="64" t="s">
        <v>263</v>
      </c>
      <c r="D691" s="65" t="s">
        <v>264</v>
      </c>
      <c r="E691" s="58" t="s">
        <v>260</v>
      </c>
      <c r="F691" s="59" t="s">
        <v>269</v>
      </c>
      <c r="H691" s="55" t="s">
        <v>1289</v>
      </c>
      <c r="I691" s="61" t="s">
        <v>248</v>
      </c>
      <c r="J691" s="62" t="s">
        <v>249</v>
      </c>
      <c r="K691" s="62" t="s">
        <v>250</v>
      </c>
      <c r="L691" s="63" t="s">
        <v>269</v>
      </c>
      <c r="M691">
        <v>1</v>
      </c>
    </row>
    <row r="692" spans="1:13" ht="16.5" thickBot="1" x14ac:dyDescent="0.3">
      <c r="A692" s="55" t="s">
        <v>1290</v>
      </c>
      <c r="B692" s="74" t="s">
        <v>257</v>
      </c>
      <c r="C692" s="74" t="s">
        <v>258</v>
      </c>
      <c r="D692" s="75" t="s">
        <v>259</v>
      </c>
      <c r="E692" s="58" t="s">
        <v>260</v>
      </c>
      <c r="F692" s="59" t="s">
        <v>271</v>
      </c>
      <c r="H692" s="55" t="s">
        <v>1290</v>
      </c>
      <c r="I692" s="61" t="s">
        <v>248</v>
      </c>
      <c r="J692" s="62" t="s">
        <v>249</v>
      </c>
      <c r="K692" s="62" t="s">
        <v>250</v>
      </c>
      <c r="L692" s="67" t="s">
        <v>1370</v>
      </c>
      <c r="M692">
        <v>2</v>
      </c>
    </row>
    <row r="693" spans="1:13" ht="16.5" thickBot="1" x14ac:dyDescent="0.3">
      <c r="A693" s="55" t="s">
        <v>1291</v>
      </c>
      <c r="B693" s="64" t="s">
        <v>263</v>
      </c>
      <c r="C693" s="64" t="s">
        <v>264</v>
      </c>
      <c r="D693" s="65" t="s">
        <v>265</v>
      </c>
      <c r="E693" s="58" t="s">
        <v>260</v>
      </c>
      <c r="F693" s="59" t="s">
        <v>273</v>
      </c>
      <c r="H693" s="55" t="s">
        <v>1291</v>
      </c>
      <c r="I693" s="61" t="s">
        <v>250</v>
      </c>
      <c r="J693" s="62" t="s">
        <v>248</v>
      </c>
      <c r="K693" s="62" t="s">
        <v>249</v>
      </c>
      <c r="L693" s="63" t="s">
        <v>273</v>
      </c>
      <c r="M693">
        <v>1</v>
      </c>
    </row>
    <row r="694" spans="1:13" ht="16.5" thickBot="1" x14ac:dyDescent="0.3">
      <c r="A694" s="55" t="s">
        <v>1292</v>
      </c>
      <c r="B694" s="74" t="s">
        <v>258</v>
      </c>
      <c r="C694" s="74" t="s">
        <v>259</v>
      </c>
      <c r="D694" s="75" t="s">
        <v>257</v>
      </c>
      <c r="E694" s="58" t="s">
        <v>260</v>
      </c>
      <c r="F694" s="59" t="s">
        <v>275</v>
      </c>
      <c r="H694" s="55" t="s">
        <v>1292</v>
      </c>
      <c r="I694" s="61" t="s">
        <v>250</v>
      </c>
      <c r="J694" s="62" t="s">
        <v>248</v>
      </c>
      <c r="K694" s="62" t="s">
        <v>249</v>
      </c>
      <c r="L694" s="81" t="s">
        <v>1371</v>
      </c>
      <c r="M694">
        <v>2</v>
      </c>
    </row>
    <row r="695" spans="1:13" ht="16.5" thickBot="1" x14ac:dyDescent="0.3">
      <c r="A695" s="55" t="s">
        <v>1293</v>
      </c>
      <c r="B695" s="76" t="s">
        <v>264</v>
      </c>
      <c r="C695" s="76" t="s">
        <v>265</v>
      </c>
      <c r="D695" s="77" t="s">
        <v>263</v>
      </c>
      <c r="E695" s="58" t="s">
        <v>260</v>
      </c>
      <c r="F695" s="59" t="s">
        <v>261</v>
      </c>
      <c r="H695" s="55" t="s">
        <v>1293</v>
      </c>
      <c r="I695" s="79" t="s">
        <v>249</v>
      </c>
      <c r="J695" s="80" t="s">
        <v>250</v>
      </c>
      <c r="K695" s="80" t="s">
        <v>248</v>
      </c>
      <c r="L695" s="67" t="s">
        <v>261</v>
      </c>
      <c r="M695">
        <v>1</v>
      </c>
    </row>
    <row r="696" spans="1:13" ht="16.5" thickBot="1" x14ac:dyDescent="0.3">
      <c r="A696" s="55" t="s">
        <v>1294</v>
      </c>
      <c r="B696" s="74" t="s">
        <v>259</v>
      </c>
      <c r="C696" s="74" t="s">
        <v>257</v>
      </c>
      <c r="D696" s="75" t="s">
        <v>258</v>
      </c>
      <c r="E696" s="58" t="s">
        <v>260</v>
      </c>
      <c r="F696" s="59" t="s">
        <v>245</v>
      </c>
      <c r="H696" s="55" t="s">
        <v>1294</v>
      </c>
      <c r="I696" s="61" t="s">
        <v>249</v>
      </c>
      <c r="J696" s="62" t="s">
        <v>250</v>
      </c>
      <c r="K696" s="62" t="s">
        <v>248</v>
      </c>
      <c r="L696" s="63" t="s">
        <v>245</v>
      </c>
      <c r="M696">
        <v>1</v>
      </c>
    </row>
    <row r="697" spans="1:13" ht="16.5" thickBot="1" x14ac:dyDescent="0.3">
      <c r="A697" s="55" t="s">
        <v>1295</v>
      </c>
      <c r="B697" s="64" t="s">
        <v>265</v>
      </c>
      <c r="C697" s="64" t="s">
        <v>263</v>
      </c>
      <c r="D697" s="65" t="s">
        <v>264</v>
      </c>
      <c r="E697" s="58" t="s">
        <v>260</v>
      </c>
      <c r="F697" s="59" t="s">
        <v>267</v>
      </c>
      <c r="H697" s="55" t="s">
        <v>1295</v>
      </c>
      <c r="I697" s="61" t="s">
        <v>248</v>
      </c>
      <c r="J697" s="62" t="s">
        <v>249</v>
      </c>
      <c r="K697" s="62" t="s">
        <v>250</v>
      </c>
      <c r="L697" s="63" t="s">
        <v>267</v>
      </c>
      <c r="M697">
        <v>2</v>
      </c>
    </row>
    <row r="698" spans="1:13" ht="16.5" thickBot="1" x14ac:dyDescent="0.3">
      <c r="A698" s="55" t="s">
        <v>1296</v>
      </c>
      <c r="B698" s="74" t="s">
        <v>257</v>
      </c>
      <c r="C698" s="74" t="s">
        <v>258</v>
      </c>
      <c r="D698" s="75" t="s">
        <v>259</v>
      </c>
      <c r="E698" s="58" t="s">
        <v>260</v>
      </c>
      <c r="F698" s="59" t="s">
        <v>269</v>
      </c>
      <c r="H698" s="55" t="s">
        <v>1296</v>
      </c>
      <c r="I698" s="61" t="s">
        <v>248</v>
      </c>
      <c r="J698" s="62" t="s">
        <v>249</v>
      </c>
      <c r="K698" s="62" t="s">
        <v>250</v>
      </c>
      <c r="L698" s="67" t="s">
        <v>269</v>
      </c>
      <c r="M698">
        <v>1</v>
      </c>
    </row>
    <row r="699" spans="1:13" ht="16.5" thickBot="1" x14ac:dyDescent="0.3">
      <c r="A699" s="55" t="s">
        <v>1297</v>
      </c>
      <c r="B699" s="64" t="s">
        <v>263</v>
      </c>
      <c r="C699" s="64" t="s">
        <v>264</v>
      </c>
      <c r="D699" s="65" t="s">
        <v>265</v>
      </c>
      <c r="E699" s="58" t="s">
        <v>260</v>
      </c>
      <c r="F699" s="59" t="s">
        <v>271</v>
      </c>
      <c r="H699" s="55" t="s">
        <v>1297</v>
      </c>
      <c r="I699" s="61" t="s">
        <v>250</v>
      </c>
      <c r="J699" s="62" t="s">
        <v>248</v>
      </c>
      <c r="K699" s="62" t="s">
        <v>249</v>
      </c>
      <c r="L699" s="63" t="s">
        <v>1370</v>
      </c>
      <c r="M699">
        <v>2</v>
      </c>
    </row>
    <row r="700" spans="1:13" ht="16.5" thickBot="1" x14ac:dyDescent="0.3">
      <c r="A700" s="55" t="s">
        <v>1298</v>
      </c>
      <c r="B700" s="74" t="s">
        <v>258</v>
      </c>
      <c r="C700" s="74" t="s">
        <v>259</v>
      </c>
      <c r="D700" s="75" t="s">
        <v>257</v>
      </c>
      <c r="E700" s="58" t="s">
        <v>260</v>
      </c>
      <c r="F700" s="59" t="s">
        <v>273</v>
      </c>
      <c r="H700" s="55" t="s">
        <v>1298</v>
      </c>
      <c r="I700" s="61" t="s">
        <v>250</v>
      </c>
      <c r="J700" s="62" t="s">
        <v>248</v>
      </c>
      <c r="K700" s="62" t="s">
        <v>249</v>
      </c>
      <c r="L700" s="81" t="s">
        <v>273</v>
      </c>
      <c r="M700">
        <v>1</v>
      </c>
    </row>
    <row r="701" spans="1:13" ht="16.5" thickBot="1" x14ac:dyDescent="0.3">
      <c r="A701" s="55" t="s">
        <v>1299</v>
      </c>
      <c r="B701" s="76" t="s">
        <v>264</v>
      </c>
      <c r="C701" s="76" t="s">
        <v>265</v>
      </c>
      <c r="D701" s="77" t="s">
        <v>263</v>
      </c>
      <c r="E701" s="58" t="s">
        <v>260</v>
      </c>
      <c r="F701" s="59" t="s">
        <v>275</v>
      </c>
      <c r="H701" s="55" t="s">
        <v>1299</v>
      </c>
      <c r="I701" s="79" t="s">
        <v>249</v>
      </c>
      <c r="J701" s="80" t="s">
        <v>250</v>
      </c>
      <c r="K701" s="80" t="s">
        <v>248</v>
      </c>
      <c r="L701" s="67" t="s">
        <v>1371</v>
      </c>
      <c r="M701">
        <v>2</v>
      </c>
    </row>
    <row r="702" spans="1:13" ht="16.5" thickBot="1" x14ac:dyDescent="0.3">
      <c r="A702" s="55" t="s">
        <v>1300</v>
      </c>
      <c r="B702" s="74" t="s">
        <v>259</v>
      </c>
      <c r="C702" s="74" t="s">
        <v>257</v>
      </c>
      <c r="D702" s="75" t="s">
        <v>258</v>
      </c>
      <c r="E702" s="58" t="s">
        <v>260</v>
      </c>
      <c r="F702" s="59" t="s">
        <v>261</v>
      </c>
      <c r="H702" s="55" t="s">
        <v>1300</v>
      </c>
      <c r="I702" s="61" t="s">
        <v>249</v>
      </c>
      <c r="J702" s="62" t="s">
        <v>250</v>
      </c>
      <c r="K702" s="62" t="s">
        <v>248</v>
      </c>
      <c r="L702" s="63" t="s">
        <v>261</v>
      </c>
      <c r="M702">
        <v>1</v>
      </c>
    </row>
    <row r="703" spans="1:13" ht="16.5" thickBot="1" x14ac:dyDescent="0.3">
      <c r="A703" s="55" t="s">
        <v>1301</v>
      </c>
      <c r="B703" s="64" t="s">
        <v>265</v>
      </c>
      <c r="C703" s="64" t="s">
        <v>263</v>
      </c>
      <c r="D703" s="65" t="s">
        <v>264</v>
      </c>
      <c r="E703" s="58" t="s">
        <v>260</v>
      </c>
      <c r="F703" s="59" t="s">
        <v>245</v>
      </c>
      <c r="H703" s="55" t="s">
        <v>1301</v>
      </c>
      <c r="I703" s="61" t="s">
        <v>248</v>
      </c>
      <c r="J703" s="62" t="s">
        <v>249</v>
      </c>
      <c r="K703" s="62" t="s">
        <v>250</v>
      </c>
      <c r="L703" s="63" t="s">
        <v>245</v>
      </c>
      <c r="M703">
        <v>1</v>
      </c>
    </row>
    <row r="704" spans="1:13" ht="16.5" thickBot="1" x14ac:dyDescent="0.3">
      <c r="A704" s="55" t="s">
        <v>1302</v>
      </c>
      <c r="B704" s="74" t="s">
        <v>257</v>
      </c>
      <c r="C704" s="74" t="s">
        <v>258</v>
      </c>
      <c r="D704" s="75" t="s">
        <v>259</v>
      </c>
      <c r="E704" s="58" t="s">
        <v>260</v>
      </c>
      <c r="F704" s="59" t="s">
        <v>267</v>
      </c>
      <c r="H704" s="55" t="s">
        <v>1302</v>
      </c>
      <c r="I704" s="61" t="s">
        <v>248</v>
      </c>
      <c r="J704" s="62" t="s">
        <v>249</v>
      </c>
      <c r="K704" s="62" t="s">
        <v>250</v>
      </c>
      <c r="L704" s="67" t="s">
        <v>267</v>
      </c>
      <c r="M704">
        <v>2</v>
      </c>
    </row>
    <row r="705" spans="1:13" ht="16.5" thickBot="1" x14ac:dyDescent="0.3">
      <c r="A705" s="55" t="s">
        <v>1303</v>
      </c>
      <c r="B705" s="64" t="s">
        <v>263</v>
      </c>
      <c r="C705" s="64" t="s">
        <v>264</v>
      </c>
      <c r="D705" s="65" t="s">
        <v>265</v>
      </c>
      <c r="E705" s="58" t="s">
        <v>260</v>
      </c>
      <c r="F705" s="59" t="s">
        <v>269</v>
      </c>
      <c r="H705" s="55" t="s">
        <v>1303</v>
      </c>
      <c r="I705" s="61" t="s">
        <v>250</v>
      </c>
      <c r="J705" s="62" t="s">
        <v>248</v>
      </c>
      <c r="K705" s="62" t="s">
        <v>249</v>
      </c>
      <c r="L705" s="63" t="s">
        <v>269</v>
      </c>
      <c r="M705">
        <v>1</v>
      </c>
    </row>
    <row r="706" spans="1:13" ht="16.5" thickBot="1" x14ac:dyDescent="0.3">
      <c r="A706" s="55" t="s">
        <v>1304</v>
      </c>
      <c r="B706" s="74" t="s">
        <v>258</v>
      </c>
      <c r="C706" s="74" t="s">
        <v>259</v>
      </c>
      <c r="D706" s="75" t="s">
        <v>257</v>
      </c>
      <c r="E706" s="58" t="s">
        <v>260</v>
      </c>
      <c r="F706" s="59" t="s">
        <v>271</v>
      </c>
      <c r="H706" s="55" t="s">
        <v>1304</v>
      </c>
      <c r="I706" s="61" t="s">
        <v>250</v>
      </c>
      <c r="J706" s="62" t="s">
        <v>248</v>
      </c>
      <c r="K706" s="62" t="s">
        <v>249</v>
      </c>
      <c r="L706" s="81" t="s">
        <v>1370</v>
      </c>
      <c r="M706">
        <v>2</v>
      </c>
    </row>
    <row r="707" spans="1:13" ht="16.5" thickBot="1" x14ac:dyDescent="0.3">
      <c r="A707" s="55" t="s">
        <v>1305</v>
      </c>
      <c r="B707" s="76" t="s">
        <v>264</v>
      </c>
      <c r="C707" s="76" t="s">
        <v>265</v>
      </c>
      <c r="D707" s="77" t="s">
        <v>263</v>
      </c>
      <c r="E707" s="58" t="s">
        <v>260</v>
      </c>
      <c r="F707" s="59" t="s">
        <v>273</v>
      </c>
      <c r="H707" s="55" t="s">
        <v>1305</v>
      </c>
      <c r="I707" s="79" t="s">
        <v>249</v>
      </c>
      <c r="J707" s="80" t="s">
        <v>250</v>
      </c>
      <c r="K707" s="80" t="s">
        <v>248</v>
      </c>
      <c r="L707" s="67" t="s">
        <v>273</v>
      </c>
      <c r="M707">
        <v>1</v>
      </c>
    </row>
    <row r="708" spans="1:13" ht="16.5" thickBot="1" x14ac:dyDescent="0.3">
      <c r="A708" s="55" t="s">
        <v>1306</v>
      </c>
      <c r="B708" s="74" t="s">
        <v>259</v>
      </c>
      <c r="C708" s="74" t="s">
        <v>257</v>
      </c>
      <c r="D708" s="75" t="s">
        <v>258</v>
      </c>
      <c r="E708" s="58" t="s">
        <v>260</v>
      </c>
      <c r="F708" s="59" t="s">
        <v>275</v>
      </c>
      <c r="H708" s="55" t="s">
        <v>1306</v>
      </c>
      <c r="I708" s="61" t="s">
        <v>249</v>
      </c>
      <c r="J708" s="62" t="s">
        <v>250</v>
      </c>
      <c r="K708" s="62" t="s">
        <v>248</v>
      </c>
      <c r="L708" s="63" t="s">
        <v>1371</v>
      </c>
      <c r="M708">
        <v>2</v>
      </c>
    </row>
    <row r="709" spans="1:13" ht="16.5" thickBot="1" x14ac:dyDescent="0.3">
      <c r="A709" s="55" t="s">
        <v>1307</v>
      </c>
      <c r="B709" s="64" t="s">
        <v>265</v>
      </c>
      <c r="C709" s="64" t="s">
        <v>263</v>
      </c>
      <c r="D709" s="65" t="s">
        <v>264</v>
      </c>
      <c r="E709" s="58" t="s">
        <v>260</v>
      </c>
      <c r="F709" s="59" t="s">
        <v>261</v>
      </c>
      <c r="H709" s="55" t="s">
        <v>1307</v>
      </c>
      <c r="I709" s="61" t="s">
        <v>248</v>
      </c>
      <c r="J709" s="62" t="s">
        <v>249</v>
      </c>
      <c r="K709" s="62" t="s">
        <v>250</v>
      </c>
      <c r="L709" s="63" t="s">
        <v>261</v>
      </c>
      <c r="M709">
        <v>1</v>
      </c>
    </row>
    <row r="710" spans="1:13" ht="16.5" thickBot="1" x14ac:dyDescent="0.3">
      <c r="A710" s="55" t="s">
        <v>1308</v>
      </c>
      <c r="B710" s="74" t="s">
        <v>257</v>
      </c>
      <c r="C710" s="74" t="s">
        <v>258</v>
      </c>
      <c r="D710" s="75" t="s">
        <v>259</v>
      </c>
      <c r="E710" s="58" t="s">
        <v>260</v>
      </c>
      <c r="F710" s="59" t="s">
        <v>245</v>
      </c>
      <c r="H710" s="55" t="s">
        <v>1308</v>
      </c>
      <c r="I710" s="61" t="s">
        <v>248</v>
      </c>
      <c r="J710" s="62" t="s">
        <v>249</v>
      </c>
      <c r="K710" s="62" t="s">
        <v>250</v>
      </c>
      <c r="L710" s="67" t="s">
        <v>245</v>
      </c>
      <c r="M710">
        <v>1</v>
      </c>
    </row>
    <row r="711" spans="1:13" ht="16.5" thickBot="1" x14ac:dyDescent="0.3">
      <c r="A711" s="55" t="s">
        <v>1309</v>
      </c>
      <c r="B711" s="64" t="s">
        <v>263</v>
      </c>
      <c r="C711" s="64" t="s">
        <v>264</v>
      </c>
      <c r="D711" s="65" t="s">
        <v>265</v>
      </c>
      <c r="E711" s="58" t="s">
        <v>260</v>
      </c>
      <c r="F711" s="59" t="s">
        <v>267</v>
      </c>
      <c r="H711" s="55" t="s">
        <v>1309</v>
      </c>
      <c r="I711" s="61" t="s">
        <v>250</v>
      </c>
      <c r="J711" s="62" t="s">
        <v>248</v>
      </c>
      <c r="K711" s="62" t="s">
        <v>249</v>
      </c>
      <c r="L711" s="63" t="s">
        <v>267</v>
      </c>
      <c r="M711">
        <v>2</v>
      </c>
    </row>
    <row r="712" spans="1:13" ht="16.5" thickBot="1" x14ac:dyDescent="0.3">
      <c r="A712" s="55" t="s">
        <v>1310</v>
      </c>
      <c r="B712" s="74" t="s">
        <v>258</v>
      </c>
      <c r="C712" s="74" t="s">
        <v>259</v>
      </c>
      <c r="D712" s="75" t="s">
        <v>257</v>
      </c>
      <c r="E712" s="58" t="s">
        <v>260</v>
      </c>
      <c r="F712" s="59" t="s">
        <v>269</v>
      </c>
      <c r="H712" s="55" t="s">
        <v>1310</v>
      </c>
      <c r="I712" s="61" t="s">
        <v>250</v>
      </c>
      <c r="J712" s="62" t="s">
        <v>248</v>
      </c>
      <c r="K712" s="62" t="s">
        <v>249</v>
      </c>
      <c r="L712" s="81" t="s">
        <v>269</v>
      </c>
      <c r="M712">
        <v>1</v>
      </c>
    </row>
    <row r="713" spans="1:13" ht="16.5" thickBot="1" x14ac:dyDescent="0.3">
      <c r="A713" s="55" t="s">
        <v>1311</v>
      </c>
      <c r="B713" s="76" t="s">
        <v>264</v>
      </c>
      <c r="C713" s="76" t="s">
        <v>265</v>
      </c>
      <c r="D713" s="77" t="s">
        <v>263</v>
      </c>
      <c r="E713" s="58" t="s">
        <v>260</v>
      </c>
      <c r="F713" s="59" t="s">
        <v>271</v>
      </c>
      <c r="H713" s="55" t="s">
        <v>1311</v>
      </c>
      <c r="I713" s="79" t="s">
        <v>249</v>
      </c>
      <c r="J713" s="80" t="s">
        <v>250</v>
      </c>
      <c r="K713" s="80" t="s">
        <v>248</v>
      </c>
      <c r="L713" s="67" t="s">
        <v>1370</v>
      </c>
      <c r="M713">
        <v>2</v>
      </c>
    </row>
    <row r="714" spans="1:13" ht="16.5" thickBot="1" x14ac:dyDescent="0.3">
      <c r="A714" s="55" t="s">
        <v>1312</v>
      </c>
      <c r="B714" s="74" t="s">
        <v>259</v>
      </c>
      <c r="C714" s="74" t="s">
        <v>257</v>
      </c>
      <c r="D714" s="75" t="s">
        <v>258</v>
      </c>
      <c r="E714" s="58" t="s">
        <v>260</v>
      </c>
      <c r="F714" s="59" t="s">
        <v>273</v>
      </c>
      <c r="H714" s="55" t="s">
        <v>1312</v>
      </c>
      <c r="I714" s="61" t="s">
        <v>249</v>
      </c>
      <c r="J714" s="62" t="s">
        <v>250</v>
      </c>
      <c r="K714" s="62" t="s">
        <v>248</v>
      </c>
      <c r="L714" s="63" t="s">
        <v>273</v>
      </c>
      <c r="M714">
        <v>1</v>
      </c>
    </row>
    <row r="715" spans="1:13" ht="16.5" thickBot="1" x14ac:dyDescent="0.3">
      <c r="A715" s="55" t="s">
        <v>1313</v>
      </c>
      <c r="B715" s="64" t="s">
        <v>265</v>
      </c>
      <c r="C715" s="64" t="s">
        <v>263</v>
      </c>
      <c r="D715" s="65" t="s">
        <v>264</v>
      </c>
      <c r="E715" s="58" t="s">
        <v>260</v>
      </c>
      <c r="F715" s="59" t="s">
        <v>275</v>
      </c>
      <c r="H715" s="55" t="s">
        <v>1313</v>
      </c>
      <c r="I715" s="61" t="s">
        <v>248</v>
      </c>
      <c r="J715" s="62" t="s">
        <v>249</v>
      </c>
      <c r="K715" s="62" t="s">
        <v>250</v>
      </c>
      <c r="L715" s="63" t="s">
        <v>1371</v>
      </c>
      <c r="M715">
        <v>2</v>
      </c>
    </row>
    <row r="716" spans="1:13" ht="16.5" thickBot="1" x14ac:dyDescent="0.3">
      <c r="A716" s="55" t="s">
        <v>1314</v>
      </c>
      <c r="B716" s="74" t="s">
        <v>257</v>
      </c>
      <c r="C716" s="74" t="s">
        <v>258</v>
      </c>
      <c r="D716" s="75" t="s">
        <v>259</v>
      </c>
      <c r="E716" s="58" t="s">
        <v>260</v>
      </c>
      <c r="F716" s="59" t="s">
        <v>261</v>
      </c>
      <c r="H716" s="55" t="s">
        <v>1314</v>
      </c>
      <c r="I716" s="61" t="s">
        <v>248</v>
      </c>
      <c r="J716" s="62" t="s">
        <v>249</v>
      </c>
      <c r="K716" s="62" t="s">
        <v>250</v>
      </c>
      <c r="L716" s="67" t="s">
        <v>261</v>
      </c>
      <c r="M716">
        <v>1</v>
      </c>
    </row>
    <row r="717" spans="1:13" ht="16.5" thickBot="1" x14ac:dyDescent="0.3">
      <c r="A717" s="55" t="s">
        <v>1315</v>
      </c>
      <c r="B717" s="64" t="s">
        <v>263</v>
      </c>
      <c r="C717" s="64" t="s">
        <v>264</v>
      </c>
      <c r="D717" s="65" t="s">
        <v>265</v>
      </c>
      <c r="E717" s="58" t="s">
        <v>260</v>
      </c>
      <c r="F717" s="59" t="s">
        <v>245</v>
      </c>
      <c r="H717" s="55" t="s">
        <v>1315</v>
      </c>
      <c r="I717" s="61" t="s">
        <v>250</v>
      </c>
      <c r="J717" s="62" t="s">
        <v>248</v>
      </c>
      <c r="K717" s="62" t="s">
        <v>249</v>
      </c>
      <c r="L717" s="63" t="s">
        <v>245</v>
      </c>
      <c r="M717">
        <v>1</v>
      </c>
    </row>
    <row r="718" spans="1:13" ht="16.5" thickBot="1" x14ac:dyDescent="0.3">
      <c r="A718" s="55" t="s">
        <v>1316</v>
      </c>
      <c r="B718" s="74" t="s">
        <v>258</v>
      </c>
      <c r="C718" s="74" t="s">
        <v>259</v>
      </c>
      <c r="D718" s="75" t="s">
        <v>257</v>
      </c>
      <c r="E718" s="58" t="s">
        <v>260</v>
      </c>
      <c r="F718" s="59" t="s">
        <v>267</v>
      </c>
      <c r="H718" s="55" t="s">
        <v>1316</v>
      </c>
      <c r="I718" s="61" t="s">
        <v>250</v>
      </c>
      <c r="J718" s="62" t="s">
        <v>248</v>
      </c>
      <c r="K718" s="62" t="s">
        <v>249</v>
      </c>
      <c r="L718" s="81" t="s">
        <v>267</v>
      </c>
      <c r="M718">
        <v>2</v>
      </c>
    </row>
    <row r="719" spans="1:13" ht="16.5" thickBot="1" x14ac:dyDescent="0.3">
      <c r="A719" s="55" t="s">
        <v>1317</v>
      </c>
      <c r="B719" s="76" t="s">
        <v>264</v>
      </c>
      <c r="C719" s="76" t="s">
        <v>265</v>
      </c>
      <c r="D719" s="77" t="s">
        <v>263</v>
      </c>
      <c r="E719" s="58" t="s">
        <v>260</v>
      </c>
      <c r="F719" s="59" t="s">
        <v>269</v>
      </c>
      <c r="H719" s="55" t="s">
        <v>1317</v>
      </c>
      <c r="I719" s="79" t="s">
        <v>249</v>
      </c>
      <c r="J719" s="80" t="s">
        <v>250</v>
      </c>
      <c r="K719" s="80" t="s">
        <v>248</v>
      </c>
      <c r="L719" s="67" t="s">
        <v>269</v>
      </c>
      <c r="M719">
        <v>1</v>
      </c>
    </row>
    <row r="720" spans="1:13" ht="16.5" thickBot="1" x14ac:dyDescent="0.3">
      <c r="A720" s="55" t="s">
        <v>1318</v>
      </c>
      <c r="B720" s="74" t="s">
        <v>259</v>
      </c>
      <c r="C720" s="74" t="s">
        <v>257</v>
      </c>
      <c r="D720" s="75" t="s">
        <v>258</v>
      </c>
      <c r="E720" s="58" t="s">
        <v>260</v>
      </c>
      <c r="F720" s="59" t="s">
        <v>271</v>
      </c>
      <c r="H720" s="55" t="s">
        <v>1318</v>
      </c>
      <c r="I720" s="61" t="s">
        <v>249</v>
      </c>
      <c r="J720" s="62" t="s">
        <v>250</v>
      </c>
      <c r="K720" s="62" t="s">
        <v>248</v>
      </c>
      <c r="L720" s="63" t="s">
        <v>1370</v>
      </c>
      <c r="M720">
        <v>2</v>
      </c>
    </row>
    <row r="721" spans="1:13" ht="16.5" thickBot="1" x14ac:dyDescent="0.3">
      <c r="A721" s="55" t="s">
        <v>1319</v>
      </c>
      <c r="B721" s="64" t="s">
        <v>265</v>
      </c>
      <c r="C721" s="64" t="s">
        <v>263</v>
      </c>
      <c r="D721" s="65" t="s">
        <v>264</v>
      </c>
      <c r="E721" s="58" t="s">
        <v>260</v>
      </c>
      <c r="F721" s="59" t="s">
        <v>273</v>
      </c>
      <c r="H721" s="55" t="s">
        <v>1319</v>
      </c>
      <c r="I721" s="61" t="s">
        <v>248</v>
      </c>
      <c r="J721" s="62" t="s">
        <v>249</v>
      </c>
      <c r="K721" s="62" t="s">
        <v>250</v>
      </c>
      <c r="L721" s="63" t="s">
        <v>273</v>
      </c>
      <c r="M721">
        <v>1</v>
      </c>
    </row>
    <row r="722" spans="1:13" ht="16.5" thickBot="1" x14ac:dyDescent="0.3">
      <c r="A722" s="55" t="s">
        <v>1320</v>
      </c>
      <c r="B722" s="74" t="s">
        <v>257</v>
      </c>
      <c r="C722" s="74" t="s">
        <v>258</v>
      </c>
      <c r="D722" s="75" t="s">
        <v>259</v>
      </c>
      <c r="E722" s="58" t="s">
        <v>260</v>
      </c>
      <c r="F722" s="59" t="s">
        <v>275</v>
      </c>
      <c r="H722" s="55" t="s">
        <v>1320</v>
      </c>
      <c r="I722" s="61" t="s">
        <v>248</v>
      </c>
      <c r="J722" s="62" t="s">
        <v>249</v>
      </c>
      <c r="K722" s="62" t="s">
        <v>250</v>
      </c>
      <c r="L722" s="67" t="s">
        <v>1371</v>
      </c>
      <c r="M722">
        <v>2</v>
      </c>
    </row>
    <row r="723" spans="1:13" ht="16.5" thickBot="1" x14ac:dyDescent="0.3">
      <c r="A723" s="55" t="s">
        <v>1321</v>
      </c>
      <c r="B723" s="64" t="s">
        <v>263</v>
      </c>
      <c r="C723" s="64" t="s">
        <v>264</v>
      </c>
      <c r="D723" s="65" t="s">
        <v>265</v>
      </c>
      <c r="E723" s="58" t="s">
        <v>260</v>
      </c>
      <c r="F723" s="59" t="s">
        <v>261</v>
      </c>
      <c r="H723" s="55" t="s">
        <v>1321</v>
      </c>
      <c r="I723" s="61" t="s">
        <v>250</v>
      </c>
      <c r="J723" s="62" t="s">
        <v>248</v>
      </c>
      <c r="K723" s="62" t="s">
        <v>249</v>
      </c>
      <c r="L723" s="63" t="s">
        <v>261</v>
      </c>
      <c r="M723">
        <v>1</v>
      </c>
    </row>
    <row r="724" spans="1:13" ht="16.5" thickBot="1" x14ac:dyDescent="0.3">
      <c r="A724" s="55" t="s">
        <v>1322</v>
      </c>
      <c r="B724" s="74" t="s">
        <v>258</v>
      </c>
      <c r="C724" s="74" t="s">
        <v>259</v>
      </c>
      <c r="D724" s="75" t="s">
        <v>257</v>
      </c>
      <c r="E724" s="58" t="s">
        <v>260</v>
      </c>
      <c r="F724" s="59" t="s">
        <v>245</v>
      </c>
      <c r="H724" s="55" t="s">
        <v>1322</v>
      </c>
      <c r="I724" s="61" t="s">
        <v>250</v>
      </c>
      <c r="J724" s="62" t="s">
        <v>248</v>
      </c>
      <c r="K724" s="62" t="s">
        <v>249</v>
      </c>
      <c r="L724" s="81" t="s">
        <v>245</v>
      </c>
      <c r="M724">
        <v>1</v>
      </c>
    </row>
    <row r="725" spans="1:13" ht="16.5" thickBot="1" x14ac:dyDescent="0.3">
      <c r="A725" s="55" t="s">
        <v>1323</v>
      </c>
      <c r="B725" s="76" t="s">
        <v>264</v>
      </c>
      <c r="C725" s="76" t="s">
        <v>265</v>
      </c>
      <c r="D725" s="77" t="s">
        <v>263</v>
      </c>
      <c r="E725" s="58" t="s">
        <v>260</v>
      </c>
      <c r="F725" s="59" t="s">
        <v>267</v>
      </c>
      <c r="H725" s="55" t="s">
        <v>1323</v>
      </c>
      <c r="I725" s="79" t="s">
        <v>249</v>
      </c>
      <c r="J725" s="80" t="s">
        <v>250</v>
      </c>
      <c r="K725" s="80" t="s">
        <v>248</v>
      </c>
      <c r="L725" s="67" t="s">
        <v>267</v>
      </c>
      <c r="M725">
        <v>2</v>
      </c>
    </row>
    <row r="726" spans="1:13" ht="16.5" thickBot="1" x14ac:dyDescent="0.3">
      <c r="A726" s="55" t="s">
        <v>1324</v>
      </c>
      <c r="B726" s="74" t="s">
        <v>259</v>
      </c>
      <c r="C726" s="74" t="s">
        <v>257</v>
      </c>
      <c r="D726" s="75" t="s">
        <v>258</v>
      </c>
      <c r="E726" s="58" t="s">
        <v>260</v>
      </c>
      <c r="F726" s="59" t="s">
        <v>269</v>
      </c>
      <c r="H726" s="55" t="s">
        <v>1324</v>
      </c>
      <c r="I726" s="61" t="s">
        <v>249</v>
      </c>
      <c r="J726" s="62" t="s">
        <v>250</v>
      </c>
      <c r="K726" s="62" t="s">
        <v>248</v>
      </c>
      <c r="L726" s="63" t="s">
        <v>269</v>
      </c>
      <c r="M726">
        <v>1</v>
      </c>
    </row>
    <row r="727" spans="1:13" ht="16.5" thickBot="1" x14ac:dyDescent="0.3">
      <c r="A727" s="55" t="s">
        <v>1325</v>
      </c>
      <c r="B727" s="64" t="s">
        <v>265</v>
      </c>
      <c r="C727" s="64" t="s">
        <v>263</v>
      </c>
      <c r="D727" s="65" t="s">
        <v>264</v>
      </c>
      <c r="E727" s="58" t="s">
        <v>260</v>
      </c>
      <c r="F727" s="59" t="s">
        <v>271</v>
      </c>
      <c r="H727" s="55" t="s">
        <v>1325</v>
      </c>
      <c r="I727" s="61" t="s">
        <v>248</v>
      </c>
      <c r="J727" s="62" t="s">
        <v>249</v>
      </c>
      <c r="K727" s="62" t="s">
        <v>250</v>
      </c>
      <c r="L727" s="63" t="s">
        <v>1370</v>
      </c>
      <c r="M727">
        <v>2</v>
      </c>
    </row>
    <row r="728" spans="1:13" ht="16.5" thickBot="1" x14ac:dyDescent="0.3">
      <c r="A728" s="55" t="s">
        <v>1326</v>
      </c>
      <c r="B728" s="74" t="s">
        <v>257</v>
      </c>
      <c r="C728" s="74" t="s">
        <v>258</v>
      </c>
      <c r="D728" s="75" t="s">
        <v>259</v>
      </c>
      <c r="E728" s="58" t="s">
        <v>260</v>
      </c>
      <c r="F728" s="59" t="s">
        <v>273</v>
      </c>
      <c r="H728" s="55" t="s">
        <v>1326</v>
      </c>
      <c r="I728" s="61" t="s">
        <v>248</v>
      </c>
      <c r="J728" s="62" t="s">
        <v>249</v>
      </c>
      <c r="K728" s="62" t="s">
        <v>250</v>
      </c>
      <c r="L728" s="67" t="s">
        <v>273</v>
      </c>
      <c r="M728">
        <v>1</v>
      </c>
    </row>
    <row r="729" spans="1:13" ht="16.5" thickBot="1" x14ac:dyDescent="0.3">
      <c r="A729" s="55" t="s">
        <v>1327</v>
      </c>
      <c r="B729" s="64" t="s">
        <v>263</v>
      </c>
      <c r="C729" s="64" t="s">
        <v>264</v>
      </c>
      <c r="D729" s="65" t="s">
        <v>265</v>
      </c>
      <c r="E729" s="58" t="s">
        <v>260</v>
      </c>
      <c r="F729" s="59" t="s">
        <v>275</v>
      </c>
      <c r="H729" s="55" t="s">
        <v>1327</v>
      </c>
      <c r="I729" s="61" t="s">
        <v>250</v>
      </c>
      <c r="J729" s="62" t="s">
        <v>248</v>
      </c>
      <c r="K729" s="62" t="s">
        <v>249</v>
      </c>
      <c r="L729" s="63" t="s">
        <v>1371</v>
      </c>
      <c r="M729">
        <v>2</v>
      </c>
    </row>
    <row r="730" spans="1:13" ht="16.5" thickBot="1" x14ac:dyDescent="0.3">
      <c r="A730" s="55" t="s">
        <v>1328</v>
      </c>
      <c r="B730" s="74" t="s">
        <v>258</v>
      </c>
      <c r="C730" s="74" t="s">
        <v>259</v>
      </c>
      <c r="D730" s="75" t="s">
        <v>257</v>
      </c>
      <c r="E730" s="58" t="s">
        <v>260</v>
      </c>
      <c r="F730" s="59" t="s">
        <v>261</v>
      </c>
      <c r="H730" s="55" t="s">
        <v>1328</v>
      </c>
      <c r="I730" s="61" t="s">
        <v>250</v>
      </c>
      <c r="J730" s="62" t="s">
        <v>248</v>
      </c>
      <c r="K730" s="62" t="s">
        <v>249</v>
      </c>
      <c r="L730" s="81" t="s">
        <v>261</v>
      </c>
      <c r="M730">
        <v>1</v>
      </c>
    </row>
    <row r="731" spans="1:13" ht="16.5" thickBot="1" x14ac:dyDescent="0.3">
      <c r="A731" s="55" t="s">
        <v>1329</v>
      </c>
      <c r="B731" s="76" t="s">
        <v>264</v>
      </c>
      <c r="C731" s="76" t="s">
        <v>265</v>
      </c>
      <c r="D731" s="77" t="s">
        <v>263</v>
      </c>
      <c r="E731" s="58" t="s">
        <v>260</v>
      </c>
      <c r="F731" s="59" t="s">
        <v>245</v>
      </c>
      <c r="H731" s="55" t="s">
        <v>1329</v>
      </c>
      <c r="I731" s="79" t="s">
        <v>249</v>
      </c>
      <c r="J731" s="80" t="s">
        <v>250</v>
      </c>
      <c r="K731" s="80" t="s">
        <v>248</v>
      </c>
      <c r="L731" s="67" t="s">
        <v>245</v>
      </c>
      <c r="M731">
        <v>1</v>
      </c>
    </row>
    <row r="732" spans="1:13" ht="16.5" thickBot="1" x14ac:dyDescent="0.3">
      <c r="A732" s="55" t="s">
        <v>1330</v>
      </c>
      <c r="B732" s="74" t="s">
        <v>259</v>
      </c>
      <c r="C732" s="74" t="s">
        <v>257</v>
      </c>
      <c r="D732" s="75" t="s">
        <v>258</v>
      </c>
      <c r="E732" s="58" t="s">
        <v>260</v>
      </c>
      <c r="F732" s="59" t="s">
        <v>267</v>
      </c>
      <c r="H732" s="55" t="s">
        <v>1330</v>
      </c>
      <c r="I732" s="61" t="s">
        <v>249</v>
      </c>
      <c r="J732" s="62" t="s">
        <v>250</v>
      </c>
      <c r="K732" s="62" t="s">
        <v>248</v>
      </c>
      <c r="L732" s="63" t="s">
        <v>267</v>
      </c>
      <c r="M732">
        <v>2</v>
      </c>
    </row>
    <row r="733" spans="1:13" ht="16.5" thickBot="1" x14ac:dyDescent="0.3">
      <c r="A733" s="55" t="s">
        <v>1331</v>
      </c>
      <c r="B733" s="64" t="s">
        <v>265</v>
      </c>
      <c r="C733" s="64" t="s">
        <v>263</v>
      </c>
      <c r="D733" s="65" t="s">
        <v>264</v>
      </c>
      <c r="E733" s="58" t="s">
        <v>260</v>
      </c>
      <c r="F733" s="59" t="s">
        <v>269</v>
      </c>
      <c r="H733" s="55" t="s">
        <v>1331</v>
      </c>
      <c r="I733" s="61" t="s">
        <v>248</v>
      </c>
      <c r="J733" s="62" t="s">
        <v>249</v>
      </c>
      <c r="K733" s="62" t="s">
        <v>250</v>
      </c>
      <c r="L733" s="63" t="s">
        <v>269</v>
      </c>
      <c r="M733">
        <v>1</v>
      </c>
    </row>
    <row r="734" spans="1:13" ht="16.5" thickBot="1" x14ac:dyDescent="0.3">
      <c r="A734" s="55" t="s">
        <v>1332</v>
      </c>
      <c r="B734" s="74" t="s">
        <v>257</v>
      </c>
      <c r="C734" s="74" t="s">
        <v>258</v>
      </c>
      <c r="D734" s="75" t="s">
        <v>259</v>
      </c>
      <c r="E734" s="58" t="s">
        <v>260</v>
      </c>
      <c r="F734" s="59" t="s">
        <v>271</v>
      </c>
      <c r="H734" s="55" t="s">
        <v>1332</v>
      </c>
      <c r="I734" s="61" t="s">
        <v>248</v>
      </c>
      <c r="J734" s="62" t="s">
        <v>249</v>
      </c>
      <c r="K734" s="62" t="s">
        <v>250</v>
      </c>
      <c r="L734" s="67" t="s">
        <v>1370</v>
      </c>
      <c r="M734">
        <v>2</v>
      </c>
    </row>
    <row r="735" spans="1:13" ht="16.5" thickBot="1" x14ac:dyDescent="0.3">
      <c r="A735" s="55" t="s">
        <v>1333</v>
      </c>
      <c r="B735" s="64" t="s">
        <v>263</v>
      </c>
      <c r="C735" s="64" t="s">
        <v>264</v>
      </c>
      <c r="D735" s="65" t="s">
        <v>265</v>
      </c>
      <c r="E735" s="58" t="s">
        <v>260</v>
      </c>
      <c r="F735" s="59" t="s">
        <v>273</v>
      </c>
      <c r="H735" s="55" t="s">
        <v>1333</v>
      </c>
      <c r="I735" s="61" t="s">
        <v>250</v>
      </c>
      <c r="J735" s="62" t="s">
        <v>248</v>
      </c>
      <c r="K735" s="62" t="s">
        <v>249</v>
      </c>
      <c r="L735" s="63" t="s">
        <v>273</v>
      </c>
      <c r="M735">
        <v>1</v>
      </c>
    </row>
    <row r="736" spans="1:13" ht="16.5" thickBot="1" x14ac:dyDescent="0.3">
      <c r="A736" s="55" t="s">
        <v>1334</v>
      </c>
      <c r="B736" s="74" t="s">
        <v>258</v>
      </c>
      <c r="C736" s="74" t="s">
        <v>259</v>
      </c>
      <c r="D736" s="75" t="s">
        <v>257</v>
      </c>
      <c r="E736" s="58" t="s">
        <v>260</v>
      </c>
      <c r="F736" s="59" t="s">
        <v>275</v>
      </c>
      <c r="H736" s="55" t="s">
        <v>1334</v>
      </c>
      <c r="I736" s="61" t="s">
        <v>250</v>
      </c>
      <c r="J736" s="62" t="s">
        <v>248</v>
      </c>
      <c r="K736" s="62" t="s">
        <v>249</v>
      </c>
      <c r="L736" s="81" t="s">
        <v>1371</v>
      </c>
      <c r="M736">
        <v>2</v>
      </c>
    </row>
    <row r="737" spans="1:13" ht="16.5" thickBot="1" x14ac:dyDescent="0.3">
      <c r="A737" s="55" t="s">
        <v>1335</v>
      </c>
      <c r="B737" s="76" t="s">
        <v>264</v>
      </c>
      <c r="C737" s="76" t="s">
        <v>265</v>
      </c>
      <c r="D737" s="77" t="s">
        <v>263</v>
      </c>
      <c r="E737" s="58" t="s">
        <v>260</v>
      </c>
      <c r="F737" s="59" t="s">
        <v>261</v>
      </c>
      <c r="H737" s="55" t="s">
        <v>1335</v>
      </c>
      <c r="I737" s="79" t="s">
        <v>249</v>
      </c>
      <c r="J737" s="80" t="s">
        <v>250</v>
      </c>
      <c r="K737" s="80" t="s">
        <v>248</v>
      </c>
      <c r="L737" s="67" t="s">
        <v>261</v>
      </c>
      <c r="M737">
        <v>1</v>
      </c>
    </row>
    <row r="738" spans="1:13" ht="16.5" thickBot="1" x14ac:dyDescent="0.3">
      <c r="A738" s="55" t="s">
        <v>1336</v>
      </c>
      <c r="B738" s="74" t="s">
        <v>259</v>
      </c>
      <c r="C738" s="74" t="s">
        <v>257</v>
      </c>
      <c r="D738" s="75" t="s">
        <v>258</v>
      </c>
      <c r="E738" s="58" t="s">
        <v>260</v>
      </c>
      <c r="F738" s="59" t="s">
        <v>245</v>
      </c>
      <c r="H738" s="55" t="s">
        <v>1336</v>
      </c>
      <c r="I738" s="61" t="s">
        <v>249</v>
      </c>
      <c r="J738" s="62" t="s">
        <v>250</v>
      </c>
      <c r="K738" s="62" t="s">
        <v>248</v>
      </c>
      <c r="L738" s="63" t="s">
        <v>245</v>
      </c>
      <c r="M738">
        <v>1</v>
      </c>
    </row>
    <row r="739" spans="1:13" ht="16.5" thickBot="1" x14ac:dyDescent="0.3">
      <c r="A739" s="55" t="s">
        <v>1337</v>
      </c>
      <c r="B739" s="64" t="s">
        <v>265</v>
      </c>
      <c r="C739" s="64" t="s">
        <v>263</v>
      </c>
      <c r="D739" s="65" t="s">
        <v>264</v>
      </c>
      <c r="E739" s="58" t="s">
        <v>260</v>
      </c>
      <c r="F739" s="59" t="s">
        <v>267</v>
      </c>
      <c r="H739" s="55" t="s">
        <v>1337</v>
      </c>
      <c r="I739" s="61" t="s">
        <v>248</v>
      </c>
      <c r="J739" s="62" t="s">
        <v>249</v>
      </c>
      <c r="K739" s="62" t="s">
        <v>250</v>
      </c>
      <c r="L739" s="63" t="s">
        <v>267</v>
      </c>
      <c r="M739">
        <v>2</v>
      </c>
    </row>
    <row r="740" spans="1:13" ht="16.5" thickBot="1" x14ac:dyDescent="0.3">
      <c r="A740" s="55" t="s">
        <v>1338</v>
      </c>
      <c r="B740" s="74" t="s">
        <v>257</v>
      </c>
      <c r="C740" s="74" t="s">
        <v>258</v>
      </c>
      <c r="D740" s="75" t="s">
        <v>259</v>
      </c>
      <c r="E740" s="58" t="s">
        <v>260</v>
      </c>
      <c r="F740" s="59" t="s">
        <v>269</v>
      </c>
      <c r="H740" s="55" t="s">
        <v>1338</v>
      </c>
      <c r="I740" s="61" t="s">
        <v>248</v>
      </c>
      <c r="J740" s="62" t="s">
        <v>249</v>
      </c>
      <c r="K740" s="62" t="s">
        <v>250</v>
      </c>
      <c r="L740" s="67" t="s">
        <v>269</v>
      </c>
      <c r="M740">
        <v>1</v>
      </c>
    </row>
    <row r="741" spans="1:13" ht="16.5" thickBot="1" x14ac:dyDescent="0.3">
      <c r="A741" s="55" t="s">
        <v>1339</v>
      </c>
      <c r="B741" s="64" t="s">
        <v>263</v>
      </c>
      <c r="C741" s="64" t="s">
        <v>264</v>
      </c>
      <c r="D741" s="65" t="s">
        <v>265</v>
      </c>
      <c r="E741" s="58" t="s">
        <v>260</v>
      </c>
      <c r="F741" s="59" t="s">
        <v>271</v>
      </c>
      <c r="H741" s="55" t="s">
        <v>1339</v>
      </c>
      <c r="I741" s="61" t="s">
        <v>250</v>
      </c>
      <c r="J741" s="62" t="s">
        <v>248</v>
      </c>
      <c r="K741" s="62" t="s">
        <v>249</v>
      </c>
      <c r="L741" s="63" t="s">
        <v>1370</v>
      </c>
      <c r="M741">
        <v>2</v>
      </c>
    </row>
    <row r="742" spans="1:13" ht="16.5" thickBot="1" x14ac:dyDescent="0.3">
      <c r="A742" s="55" t="s">
        <v>1340</v>
      </c>
      <c r="B742" s="74" t="s">
        <v>258</v>
      </c>
      <c r="C742" s="74" t="s">
        <v>259</v>
      </c>
      <c r="D742" s="75" t="s">
        <v>257</v>
      </c>
      <c r="E742" s="58" t="s">
        <v>260</v>
      </c>
      <c r="F742" s="59" t="s">
        <v>273</v>
      </c>
      <c r="H742" s="55" t="s">
        <v>1340</v>
      </c>
      <c r="I742" s="61" t="s">
        <v>250</v>
      </c>
      <c r="J742" s="62" t="s">
        <v>248</v>
      </c>
      <c r="K742" s="62" t="s">
        <v>249</v>
      </c>
      <c r="L742" s="81" t="s">
        <v>273</v>
      </c>
      <c r="M742">
        <v>1</v>
      </c>
    </row>
    <row r="743" spans="1:13" ht="16.5" thickBot="1" x14ac:dyDescent="0.3">
      <c r="A743" s="55" t="s">
        <v>1341</v>
      </c>
      <c r="B743" s="76" t="s">
        <v>264</v>
      </c>
      <c r="C743" s="76" t="s">
        <v>265</v>
      </c>
      <c r="D743" s="77" t="s">
        <v>263</v>
      </c>
      <c r="E743" s="58" t="s">
        <v>260</v>
      </c>
      <c r="F743" s="59" t="s">
        <v>275</v>
      </c>
      <c r="H743" s="55" t="s">
        <v>1341</v>
      </c>
      <c r="I743" s="79" t="s">
        <v>249</v>
      </c>
      <c r="J743" s="80" t="s">
        <v>250</v>
      </c>
      <c r="K743" s="80" t="s">
        <v>248</v>
      </c>
      <c r="L743" s="67" t="s">
        <v>1371</v>
      </c>
      <c r="M743">
        <v>2</v>
      </c>
    </row>
    <row r="744" spans="1:13" ht="16.5" thickBot="1" x14ac:dyDescent="0.3">
      <c r="A744" s="55" t="s">
        <v>1342</v>
      </c>
      <c r="B744" s="74" t="s">
        <v>259</v>
      </c>
      <c r="C744" s="74" t="s">
        <v>257</v>
      </c>
      <c r="D744" s="75" t="s">
        <v>258</v>
      </c>
      <c r="E744" s="58" t="s">
        <v>260</v>
      </c>
      <c r="F744" s="59" t="s">
        <v>261</v>
      </c>
      <c r="H744" s="55" t="s">
        <v>1342</v>
      </c>
      <c r="I744" s="61" t="s">
        <v>249</v>
      </c>
      <c r="J744" s="62" t="s">
        <v>250</v>
      </c>
      <c r="K744" s="62" t="s">
        <v>248</v>
      </c>
      <c r="L744" s="63" t="s">
        <v>261</v>
      </c>
      <c r="M744">
        <v>1</v>
      </c>
    </row>
    <row r="745" spans="1:13" ht="16.5" thickBot="1" x14ac:dyDescent="0.3">
      <c r="A745" s="55" t="s">
        <v>1343</v>
      </c>
      <c r="B745" s="64" t="s">
        <v>265</v>
      </c>
      <c r="C745" s="64" t="s">
        <v>263</v>
      </c>
      <c r="D745" s="65" t="s">
        <v>264</v>
      </c>
      <c r="E745" s="58" t="s">
        <v>260</v>
      </c>
      <c r="F745" s="59" t="s">
        <v>245</v>
      </c>
      <c r="H745" s="55" t="s">
        <v>1343</v>
      </c>
      <c r="I745" s="61" t="s">
        <v>248</v>
      </c>
      <c r="J745" s="62" t="s">
        <v>249</v>
      </c>
      <c r="K745" s="62" t="s">
        <v>250</v>
      </c>
      <c r="L745" s="63" t="s">
        <v>245</v>
      </c>
      <c r="M745">
        <v>1</v>
      </c>
    </row>
    <row r="746" spans="1:13" ht="16.5" thickBot="1" x14ac:dyDescent="0.3">
      <c r="A746" s="55" t="s">
        <v>1344</v>
      </c>
      <c r="B746" s="74" t="s">
        <v>257</v>
      </c>
      <c r="C746" s="74" t="s">
        <v>258</v>
      </c>
      <c r="D746" s="75" t="s">
        <v>259</v>
      </c>
      <c r="E746" s="58" t="s">
        <v>260</v>
      </c>
      <c r="F746" s="59" t="s">
        <v>267</v>
      </c>
      <c r="H746" s="55" t="s">
        <v>1344</v>
      </c>
      <c r="I746" s="61" t="s">
        <v>248</v>
      </c>
      <c r="J746" s="62" t="s">
        <v>249</v>
      </c>
      <c r="K746" s="62" t="s">
        <v>250</v>
      </c>
      <c r="L746" s="67" t="s">
        <v>267</v>
      </c>
      <c r="M746">
        <v>2</v>
      </c>
    </row>
    <row r="747" spans="1:13" ht="16.5" thickBot="1" x14ac:dyDescent="0.3">
      <c r="A747" s="55" t="s">
        <v>1345</v>
      </c>
      <c r="B747" s="64" t="s">
        <v>263</v>
      </c>
      <c r="C747" s="64" t="s">
        <v>264</v>
      </c>
      <c r="D747" s="65" t="s">
        <v>265</v>
      </c>
      <c r="E747" s="58" t="s">
        <v>260</v>
      </c>
      <c r="F747" s="59" t="s">
        <v>269</v>
      </c>
      <c r="H747" s="55" t="s">
        <v>1345</v>
      </c>
      <c r="I747" s="61" t="s">
        <v>250</v>
      </c>
      <c r="J747" s="62" t="s">
        <v>248</v>
      </c>
      <c r="K747" s="62" t="s">
        <v>249</v>
      </c>
      <c r="L747" s="63" t="s">
        <v>269</v>
      </c>
      <c r="M747">
        <v>1</v>
      </c>
    </row>
    <row r="748" spans="1:13" ht="16.5" thickBot="1" x14ac:dyDescent="0.3">
      <c r="A748" s="55" t="s">
        <v>1346</v>
      </c>
      <c r="B748" s="74" t="s">
        <v>258</v>
      </c>
      <c r="C748" s="74" t="s">
        <v>259</v>
      </c>
      <c r="D748" s="75" t="s">
        <v>257</v>
      </c>
      <c r="E748" s="58" t="s">
        <v>260</v>
      </c>
      <c r="F748" s="59" t="s">
        <v>271</v>
      </c>
      <c r="H748" s="55" t="s">
        <v>1346</v>
      </c>
      <c r="I748" s="61" t="s">
        <v>250</v>
      </c>
      <c r="J748" s="62" t="s">
        <v>248</v>
      </c>
      <c r="K748" s="62" t="s">
        <v>249</v>
      </c>
      <c r="L748" s="81" t="s">
        <v>1370</v>
      </c>
      <c r="M748">
        <v>2</v>
      </c>
    </row>
    <row r="749" spans="1:13" ht="16.5" thickBot="1" x14ac:dyDescent="0.3">
      <c r="A749" s="55" t="s">
        <v>1347</v>
      </c>
      <c r="B749" s="76" t="s">
        <v>264</v>
      </c>
      <c r="C749" s="76" t="s">
        <v>265</v>
      </c>
      <c r="D749" s="77" t="s">
        <v>263</v>
      </c>
      <c r="E749" s="58" t="s">
        <v>260</v>
      </c>
      <c r="F749" s="59" t="s">
        <v>273</v>
      </c>
      <c r="H749" s="55" t="s">
        <v>1347</v>
      </c>
      <c r="I749" s="79" t="s">
        <v>249</v>
      </c>
      <c r="J749" s="80" t="s">
        <v>250</v>
      </c>
      <c r="K749" s="80" t="s">
        <v>248</v>
      </c>
      <c r="L749" s="67" t="s">
        <v>273</v>
      </c>
      <c r="M749">
        <v>1</v>
      </c>
    </row>
    <row r="750" spans="1:13" ht="16.5" thickBot="1" x14ac:dyDescent="0.3">
      <c r="A750" s="55" t="s">
        <v>1348</v>
      </c>
      <c r="B750" s="74" t="s">
        <v>259</v>
      </c>
      <c r="C750" s="74" t="s">
        <v>257</v>
      </c>
      <c r="D750" s="75" t="s">
        <v>258</v>
      </c>
      <c r="E750" s="58" t="s">
        <v>260</v>
      </c>
      <c r="F750" s="59" t="s">
        <v>275</v>
      </c>
      <c r="H750" s="55" t="s">
        <v>1348</v>
      </c>
      <c r="I750" s="61" t="s">
        <v>249</v>
      </c>
      <c r="J750" s="62" t="s">
        <v>250</v>
      </c>
      <c r="K750" s="62" t="s">
        <v>248</v>
      </c>
      <c r="L750" s="63" t="s">
        <v>1371</v>
      </c>
      <c r="M750">
        <v>2</v>
      </c>
    </row>
    <row r="751" spans="1:13" ht="16.5" thickBot="1" x14ac:dyDescent="0.3">
      <c r="A751" s="55" t="s">
        <v>1349</v>
      </c>
      <c r="B751" s="64" t="s">
        <v>265</v>
      </c>
      <c r="C751" s="64" t="s">
        <v>263</v>
      </c>
      <c r="D751" s="65" t="s">
        <v>264</v>
      </c>
      <c r="E751" s="58" t="s">
        <v>260</v>
      </c>
      <c r="F751" s="59" t="s">
        <v>261</v>
      </c>
      <c r="H751" s="55" t="s">
        <v>1349</v>
      </c>
      <c r="I751" s="61" t="s">
        <v>248</v>
      </c>
      <c r="J751" s="62" t="s">
        <v>249</v>
      </c>
      <c r="K751" s="62" t="s">
        <v>250</v>
      </c>
      <c r="L751" s="63" t="s">
        <v>261</v>
      </c>
      <c r="M751">
        <v>1</v>
      </c>
    </row>
    <row r="752" spans="1:13" ht="16.5" thickBot="1" x14ac:dyDescent="0.3">
      <c r="A752" s="55" t="s">
        <v>1350</v>
      </c>
      <c r="B752" s="74" t="s">
        <v>257</v>
      </c>
      <c r="C752" s="74" t="s">
        <v>258</v>
      </c>
      <c r="D752" s="75" t="s">
        <v>259</v>
      </c>
      <c r="E752" s="58" t="s">
        <v>260</v>
      </c>
      <c r="F752" s="59" t="s">
        <v>245</v>
      </c>
      <c r="H752" s="55" t="s">
        <v>1350</v>
      </c>
      <c r="I752" s="61" t="s">
        <v>248</v>
      </c>
      <c r="J752" s="62" t="s">
        <v>249</v>
      </c>
      <c r="K752" s="62" t="s">
        <v>250</v>
      </c>
      <c r="L752" s="67" t="s">
        <v>245</v>
      </c>
      <c r="M752">
        <v>2</v>
      </c>
    </row>
    <row r="753" spans="1:13" ht="16.5" thickBot="1" x14ac:dyDescent="0.3">
      <c r="A753" s="55" t="s">
        <v>1351</v>
      </c>
      <c r="B753" s="64" t="s">
        <v>263</v>
      </c>
      <c r="C753" s="64" t="s">
        <v>264</v>
      </c>
      <c r="D753" s="65" t="s">
        <v>265</v>
      </c>
      <c r="E753" s="58" t="s">
        <v>260</v>
      </c>
      <c r="F753" s="59" t="s">
        <v>267</v>
      </c>
      <c r="H753" s="55" t="s">
        <v>1351</v>
      </c>
      <c r="I753" s="61" t="s">
        <v>250</v>
      </c>
      <c r="J753" s="62" t="s">
        <v>248</v>
      </c>
      <c r="K753" s="62" t="s">
        <v>249</v>
      </c>
      <c r="L753" s="63" t="s">
        <v>267</v>
      </c>
      <c r="M753">
        <v>1</v>
      </c>
    </row>
    <row r="754" spans="1:13" ht="16.5" thickBot="1" x14ac:dyDescent="0.3">
      <c r="A754" s="55" t="s">
        <v>1352</v>
      </c>
      <c r="B754" s="74" t="s">
        <v>258</v>
      </c>
      <c r="C754" s="74" t="s">
        <v>259</v>
      </c>
      <c r="D754" s="75" t="s">
        <v>257</v>
      </c>
      <c r="E754" s="58" t="s">
        <v>260</v>
      </c>
      <c r="F754" s="59" t="s">
        <v>269</v>
      </c>
      <c r="H754" s="55" t="s">
        <v>1352</v>
      </c>
      <c r="I754" s="61" t="s">
        <v>250</v>
      </c>
      <c r="J754" s="62" t="s">
        <v>248</v>
      </c>
      <c r="K754" s="62" t="s">
        <v>249</v>
      </c>
      <c r="L754" s="81" t="s">
        <v>269</v>
      </c>
      <c r="M754">
        <v>2</v>
      </c>
    </row>
    <row r="755" spans="1:13" ht="16.5" thickBot="1" x14ac:dyDescent="0.3">
      <c r="A755" s="55" t="s">
        <v>1353</v>
      </c>
      <c r="B755" s="76" t="s">
        <v>264</v>
      </c>
      <c r="C755" s="76" t="s">
        <v>265</v>
      </c>
      <c r="D755" s="77" t="s">
        <v>263</v>
      </c>
      <c r="E755" s="58" t="s">
        <v>260</v>
      </c>
      <c r="F755" s="59" t="s">
        <v>271</v>
      </c>
      <c r="H755" s="55" t="s">
        <v>1353</v>
      </c>
      <c r="I755" s="79" t="s">
        <v>249</v>
      </c>
      <c r="J755" s="80" t="s">
        <v>250</v>
      </c>
      <c r="K755" s="80" t="s">
        <v>248</v>
      </c>
      <c r="L755" s="67" t="s">
        <v>1370</v>
      </c>
      <c r="M755">
        <v>1</v>
      </c>
    </row>
    <row r="756" spans="1:13" ht="16.5" thickBot="1" x14ac:dyDescent="0.3">
      <c r="A756" s="55" t="s">
        <v>1354</v>
      </c>
      <c r="B756" s="74" t="s">
        <v>259</v>
      </c>
      <c r="C756" s="74" t="s">
        <v>257</v>
      </c>
      <c r="D756" s="75" t="s">
        <v>258</v>
      </c>
      <c r="E756" s="58" t="s">
        <v>260</v>
      </c>
      <c r="F756" s="59" t="s">
        <v>273</v>
      </c>
      <c r="H756" s="55" t="s">
        <v>1354</v>
      </c>
      <c r="I756" s="61" t="s">
        <v>249</v>
      </c>
      <c r="J756" s="62" t="s">
        <v>250</v>
      </c>
      <c r="K756" s="62" t="s">
        <v>248</v>
      </c>
      <c r="L756" s="63" t="s">
        <v>273</v>
      </c>
      <c r="M756">
        <v>2</v>
      </c>
    </row>
    <row r="757" spans="1:13" ht="16.5" thickBot="1" x14ac:dyDescent="0.3">
      <c r="A757" s="55" t="s">
        <v>1355</v>
      </c>
      <c r="B757" s="64" t="s">
        <v>265</v>
      </c>
      <c r="C757" s="64" t="s">
        <v>263</v>
      </c>
      <c r="D757" s="65" t="s">
        <v>264</v>
      </c>
      <c r="E757" s="58" t="s">
        <v>260</v>
      </c>
      <c r="F757" s="59" t="s">
        <v>275</v>
      </c>
      <c r="H757" s="55" t="s">
        <v>1355</v>
      </c>
      <c r="I757" s="61" t="s">
        <v>248</v>
      </c>
      <c r="J757" s="62" t="s">
        <v>249</v>
      </c>
      <c r="K757" s="62" t="s">
        <v>250</v>
      </c>
      <c r="L757" s="63" t="s">
        <v>1371</v>
      </c>
      <c r="M757">
        <v>1</v>
      </c>
    </row>
    <row r="758" spans="1:13" ht="16.5" thickBot="1" x14ac:dyDescent="0.3">
      <c r="A758" s="55" t="s">
        <v>1356</v>
      </c>
      <c r="B758" s="74" t="s">
        <v>257</v>
      </c>
      <c r="C758" s="74" t="s">
        <v>258</v>
      </c>
      <c r="D758" s="75" t="s">
        <v>259</v>
      </c>
      <c r="E758" s="58" t="s">
        <v>260</v>
      </c>
      <c r="F758" s="59" t="s">
        <v>261</v>
      </c>
      <c r="H758" s="55" t="s">
        <v>1356</v>
      </c>
      <c r="I758" s="61" t="s">
        <v>248</v>
      </c>
      <c r="J758" s="62" t="s">
        <v>249</v>
      </c>
      <c r="K758" s="62" t="s">
        <v>250</v>
      </c>
      <c r="L758" s="67" t="s">
        <v>261</v>
      </c>
      <c r="M758">
        <v>2</v>
      </c>
    </row>
    <row r="759" spans="1:13" ht="16.5" thickBot="1" x14ac:dyDescent="0.3">
      <c r="A759" s="55" t="s">
        <v>1357</v>
      </c>
      <c r="B759" s="64" t="s">
        <v>263</v>
      </c>
      <c r="C759" s="64" t="s">
        <v>264</v>
      </c>
      <c r="D759" s="65" t="s">
        <v>265</v>
      </c>
      <c r="E759" s="58" t="s">
        <v>260</v>
      </c>
      <c r="F759" s="59" t="s">
        <v>245</v>
      </c>
      <c r="H759" s="55" t="s">
        <v>1357</v>
      </c>
      <c r="I759" s="61" t="s">
        <v>250</v>
      </c>
      <c r="J759" s="62" t="s">
        <v>248</v>
      </c>
      <c r="K759" s="62" t="s">
        <v>249</v>
      </c>
      <c r="L759" s="63" t="s">
        <v>245</v>
      </c>
      <c r="M759">
        <v>1</v>
      </c>
    </row>
    <row r="760" spans="1:13" ht="16.5" thickBot="1" x14ac:dyDescent="0.3">
      <c r="A760" s="55" t="s">
        <v>1358</v>
      </c>
      <c r="B760" s="74" t="s">
        <v>258</v>
      </c>
      <c r="C760" s="74" t="s">
        <v>259</v>
      </c>
      <c r="D760" s="75" t="s">
        <v>257</v>
      </c>
      <c r="E760" s="58" t="s">
        <v>260</v>
      </c>
      <c r="F760" s="59" t="s">
        <v>267</v>
      </c>
      <c r="H760" s="55" t="s">
        <v>1358</v>
      </c>
      <c r="I760" s="61" t="s">
        <v>250</v>
      </c>
      <c r="J760" s="62" t="s">
        <v>248</v>
      </c>
      <c r="K760" s="62" t="s">
        <v>249</v>
      </c>
      <c r="L760" s="81" t="s">
        <v>267</v>
      </c>
      <c r="M760">
        <v>2</v>
      </c>
    </row>
    <row r="761" spans="1:13" ht="16.5" thickBot="1" x14ac:dyDescent="0.3">
      <c r="A761" s="55" t="s">
        <v>1359</v>
      </c>
      <c r="B761" s="76" t="s">
        <v>264</v>
      </c>
      <c r="C761" s="76" t="s">
        <v>265</v>
      </c>
      <c r="D761" s="77" t="s">
        <v>263</v>
      </c>
      <c r="E761" s="58" t="s">
        <v>260</v>
      </c>
      <c r="F761" s="59" t="s">
        <v>269</v>
      </c>
      <c r="H761" s="55" t="s">
        <v>1359</v>
      </c>
      <c r="I761" s="79" t="s">
        <v>249</v>
      </c>
      <c r="J761" s="80" t="s">
        <v>250</v>
      </c>
      <c r="K761" s="80" t="s">
        <v>248</v>
      </c>
      <c r="L761" s="67" t="s">
        <v>269</v>
      </c>
      <c r="M761">
        <v>1</v>
      </c>
    </row>
    <row r="762" spans="1:13" ht="16.5" thickBot="1" x14ac:dyDescent="0.3">
      <c r="A762" s="55" t="s">
        <v>1360</v>
      </c>
      <c r="B762" s="74" t="s">
        <v>259</v>
      </c>
      <c r="C762" s="74" t="s">
        <v>257</v>
      </c>
      <c r="D762" s="75" t="s">
        <v>258</v>
      </c>
      <c r="E762" s="58" t="s">
        <v>260</v>
      </c>
      <c r="F762" s="59" t="s">
        <v>271</v>
      </c>
      <c r="H762" s="55" t="s">
        <v>1360</v>
      </c>
      <c r="I762" s="61" t="s">
        <v>249</v>
      </c>
      <c r="J762" s="62" t="s">
        <v>250</v>
      </c>
      <c r="K762" s="62" t="s">
        <v>248</v>
      </c>
      <c r="L762" s="63" t="s">
        <v>1370</v>
      </c>
      <c r="M762">
        <v>2</v>
      </c>
    </row>
    <row r="763" spans="1:13" ht="16.5" thickBot="1" x14ac:dyDescent="0.3">
      <c r="A763" s="55" t="s">
        <v>1361</v>
      </c>
      <c r="B763" s="64" t="s">
        <v>265</v>
      </c>
      <c r="C763" s="64" t="s">
        <v>263</v>
      </c>
      <c r="D763" s="65" t="s">
        <v>264</v>
      </c>
      <c r="E763" s="58" t="s">
        <v>260</v>
      </c>
      <c r="F763" s="59" t="s">
        <v>273</v>
      </c>
      <c r="H763" s="55" t="s">
        <v>1361</v>
      </c>
      <c r="I763" s="61" t="s">
        <v>248</v>
      </c>
      <c r="J763" s="62" t="s">
        <v>249</v>
      </c>
      <c r="K763" s="62" t="s">
        <v>250</v>
      </c>
      <c r="L763" s="63" t="s">
        <v>273</v>
      </c>
      <c r="M763">
        <v>1</v>
      </c>
    </row>
    <row r="764" spans="1:13" ht="16.5" thickBot="1" x14ac:dyDescent="0.3">
      <c r="A764" s="55" t="s">
        <v>1362</v>
      </c>
      <c r="B764" s="74" t="s">
        <v>257</v>
      </c>
      <c r="C764" s="74" t="s">
        <v>258</v>
      </c>
      <c r="D764" s="75" t="s">
        <v>259</v>
      </c>
      <c r="E764" s="58" t="s">
        <v>260</v>
      </c>
      <c r="F764" s="59" t="s">
        <v>275</v>
      </c>
      <c r="H764" s="55" t="s">
        <v>1362</v>
      </c>
      <c r="I764" s="61" t="s">
        <v>248</v>
      </c>
      <c r="J764" s="62" t="s">
        <v>249</v>
      </c>
      <c r="K764" s="62" t="s">
        <v>250</v>
      </c>
      <c r="L764" s="67" t="s">
        <v>1371</v>
      </c>
      <c r="M764">
        <v>2</v>
      </c>
    </row>
    <row r="765" spans="1:13" ht="16.5" thickBot="1" x14ac:dyDescent="0.3">
      <c r="A765" s="55" t="s">
        <v>1363</v>
      </c>
      <c r="B765" s="64" t="s">
        <v>263</v>
      </c>
      <c r="C765" s="64" t="s">
        <v>264</v>
      </c>
      <c r="D765" s="65" t="s">
        <v>265</v>
      </c>
      <c r="E765" s="58" t="s">
        <v>260</v>
      </c>
      <c r="F765" s="59" t="s">
        <v>261</v>
      </c>
      <c r="H765" s="55" t="s">
        <v>1363</v>
      </c>
      <c r="I765" s="61" t="s">
        <v>250</v>
      </c>
      <c r="J765" s="62" t="s">
        <v>248</v>
      </c>
      <c r="K765" s="62" t="s">
        <v>249</v>
      </c>
      <c r="L765" s="63" t="s">
        <v>261</v>
      </c>
      <c r="M765">
        <v>1</v>
      </c>
    </row>
    <row r="766" spans="1:13" ht="16.5" thickBot="1" x14ac:dyDescent="0.3">
      <c r="A766" s="55" t="s">
        <v>1364</v>
      </c>
      <c r="B766" s="74" t="s">
        <v>258</v>
      </c>
      <c r="C766" s="74" t="s">
        <v>259</v>
      </c>
      <c r="D766" s="75" t="s">
        <v>257</v>
      </c>
      <c r="E766" s="58" t="s">
        <v>260</v>
      </c>
      <c r="F766" s="59" t="s">
        <v>245</v>
      </c>
      <c r="H766" s="55" t="s">
        <v>1364</v>
      </c>
      <c r="I766" s="61" t="s">
        <v>250</v>
      </c>
      <c r="J766" s="62" t="s">
        <v>248</v>
      </c>
      <c r="K766" s="62" t="s">
        <v>249</v>
      </c>
      <c r="L766" s="81" t="s">
        <v>245</v>
      </c>
      <c r="M766">
        <v>2</v>
      </c>
    </row>
    <row r="767" spans="1:13" ht="16.5" thickBot="1" x14ac:dyDescent="0.3">
      <c r="A767" s="55" t="s">
        <v>1365</v>
      </c>
      <c r="B767" s="76" t="s">
        <v>264</v>
      </c>
      <c r="C767" s="76" t="s">
        <v>265</v>
      </c>
      <c r="D767" s="77" t="s">
        <v>263</v>
      </c>
      <c r="E767" s="58" t="s">
        <v>260</v>
      </c>
      <c r="F767" s="59" t="s">
        <v>267</v>
      </c>
      <c r="H767" s="55" t="s">
        <v>1365</v>
      </c>
      <c r="I767" s="79" t="s">
        <v>249</v>
      </c>
      <c r="J767" s="80" t="s">
        <v>250</v>
      </c>
      <c r="K767" s="80" t="s">
        <v>248</v>
      </c>
      <c r="L767" s="67" t="s">
        <v>267</v>
      </c>
      <c r="M767">
        <v>1</v>
      </c>
    </row>
    <row r="768" spans="1:13" ht="16.5" thickBot="1" x14ac:dyDescent="0.3">
      <c r="A768" s="55" t="s">
        <v>1366</v>
      </c>
      <c r="B768" s="74" t="s">
        <v>259</v>
      </c>
      <c r="C768" s="74" t="s">
        <v>257</v>
      </c>
      <c r="D768" s="75" t="s">
        <v>258</v>
      </c>
      <c r="E768" s="58" t="s">
        <v>260</v>
      </c>
      <c r="F768" s="59" t="s">
        <v>269</v>
      </c>
      <c r="H768" s="55" t="s">
        <v>1366</v>
      </c>
      <c r="I768" s="61" t="s">
        <v>249</v>
      </c>
      <c r="J768" s="62" t="s">
        <v>250</v>
      </c>
      <c r="K768" s="62" t="s">
        <v>248</v>
      </c>
      <c r="L768" s="63" t="s">
        <v>269</v>
      </c>
      <c r="M768">
        <v>2</v>
      </c>
    </row>
    <row r="769" spans="1:13" ht="16.5" thickBot="1" x14ac:dyDescent="0.3">
      <c r="A769" s="55" t="s">
        <v>1367</v>
      </c>
      <c r="B769" s="64" t="s">
        <v>265</v>
      </c>
      <c r="C769" s="64" t="s">
        <v>263</v>
      </c>
      <c r="D769" s="65" t="s">
        <v>264</v>
      </c>
      <c r="E769" s="58" t="s">
        <v>260</v>
      </c>
      <c r="F769" s="59" t="s">
        <v>271</v>
      </c>
      <c r="H769" s="55" t="s">
        <v>1367</v>
      </c>
      <c r="I769" s="61" t="s">
        <v>248</v>
      </c>
      <c r="J769" s="62" t="s">
        <v>249</v>
      </c>
      <c r="K769" s="62" t="s">
        <v>250</v>
      </c>
      <c r="L769" s="63" t="s">
        <v>1370</v>
      </c>
      <c r="M769">
        <v>1</v>
      </c>
    </row>
    <row r="770" spans="1:13" ht="16.5" thickBot="1" x14ac:dyDescent="0.3">
      <c r="A770" s="55" t="s">
        <v>1368</v>
      </c>
      <c r="B770" s="74" t="s">
        <v>257</v>
      </c>
      <c r="C770" s="74" t="s">
        <v>258</v>
      </c>
      <c r="D770" s="75" t="s">
        <v>259</v>
      </c>
      <c r="E770" s="58" t="s">
        <v>260</v>
      </c>
      <c r="F770" s="59" t="s">
        <v>273</v>
      </c>
      <c r="H770" s="55" t="s">
        <v>1368</v>
      </c>
      <c r="I770" s="61" t="s">
        <v>248</v>
      </c>
      <c r="J770" s="62" t="s">
        <v>249</v>
      </c>
      <c r="K770" s="62" t="s">
        <v>250</v>
      </c>
      <c r="L770" s="67" t="s">
        <v>273</v>
      </c>
      <c r="M770">
        <v>2</v>
      </c>
    </row>
    <row r="771" spans="1:13" ht="16.5" thickBot="1" x14ac:dyDescent="0.3">
      <c r="A771" s="55" t="s">
        <v>1369</v>
      </c>
      <c r="B771" s="64" t="s">
        <v>263</v>
      </c>
      <c r="C771" s="64" t="s">
        <v>264</v>
      </c>
      <c r="D771" s="65" t="s">
        <v>265</v>
      </c>
      <c r="E771" s="58" t="s">
        <v>260</v>
      </c>
      <c r="F771" s="59" t="s">
        <v>275</v>
      </c>
      <c r="H771" s="55" t="s">
        <v>1369</v>
      </c>
      <c r="I771" s="61" t="s">
        <v>250</v>
      </c>
      <c r="J771" s="62" t="s">
        <v>248</v>
      </c>
      <c r="K771" s="62" t="s">
        <v>249</v>
      </c>
      <c r="L771" s="63" t="s">
        <v>1371</v>
      </c>
      <c r="M771">
        <v>1</v>
      </c>
    </row>
    <row r="772" spans="1:13" ht="16.5" thickBot="1" x14ac:dyDescent="0.3">
      <c r="A772" s="55" t="s">
        <v>1372</v>
      </c>
      <c r="B772" s="74" t="s">
        <v>258</v>
      </c>
      <c r="C772" s="74" t="s">
        <v>259</v>
      </c>
      <c r="D772" s="75" t="s">
        <v>257</v>
      </c>
      <c r="E772" s="58" t="s">
        <v>260</v>
      </c>
      <c r="F772" s="59" t="s">
        <v>261</v>
      </c>
      <c r="H772" s="55" t="s">
        <v>1372</v>
      </c>
      <c r="I772" s="79" t="s">
        <v>250</v>
      </c>
      <c r="J772" s="80" t="s">
        <v>248</v>
      </c>
      <c r="K772" s="80" t="s">
        <v>249</v>
      </c>
      <c r="L772" s="63" t="s">
        <v>261</v>
      </c>
      <c r="M772">
        <v>2</v>
      </c>
    </row>
    <row r="773" spans="1:13" ht="16.5" thickBot="1" x14ac:dyDescent="0.3">
      <c r="A773" s="55" t="s">
        <v>1382</v>
      </c>
      <c r="B773" s="76" t="s">
        <v>264</v>
      </c>
      <c r="C773" s="76" t="s">
        <v>265</v>
      </c>
      <c r="D773" s="77" t="s">
        <v>263</v>
      </c>
      <c r="E773" s="58" t="s">
        <v>260</v>
      </c>
      <c r="F773" s="59" t="s">
        <v>245</v>
      </c>
      <c r="H773" s="183" t="s">
        <v>1382</v>
      </c>
      <c r="I773" s="79" t="s">
        <v>249</v>
      </c>
      <c r="J773" s="80" t="s">
        <v>250</v>
      </c>
      <c r="K773" s="80" t="s">
        <v>248</v>
      </c>
      <c r="L773" s="81" t="s">
        <v>245</v>
      </c>
      <c r="M773">
        <v>1</v>
      </c>
    </row>
    <row r="774" spans="1:13" ht="16.5" thickBot="1" x14ac:dyDescent="0.3">
      <c r="A774" s="55" t="s">
        <v>1383</v>
      </c>
      <c r="B774" s="74" t="s">
        <v>259</v>
      </c>
      <c r="C774" s="74" t="s">
        <v>257</v>
      </c>
      <c r="D774" s="75" t="s">
        <v>258</v>
      </c>
      <c r="E774" s="58" t="s">
        <v>260</v>
      </c>
      <c r="F774" s="59" t="s">
        <v>267</v>
      </c>
      <c r="H774" s="183" t="s">
        <v>1383</v>
      </c>
      <c r="I774" s="61" t="s">
        <v>249</v>
      </c>
      <c r="J774" s="62" t="s">
        <v>250</v>
      </c>
      <c r="K774" s="62" t="s">
        <v>248</v>
      </c>
      <c r="L774" s="67" t="s">
        <v>267</v>
      </c>
      <c r="M774">
        <v>2</v>
      </c>
    </row>
    <row r="775" spans="1:13" ht="16.5" thickBot="1" x14ac:dyDescent="0.3">
      <c r="A775" s="55" t="s">
        <v>1384</v>
      </c>
      <c r="B775" s="64" t="s">
        <v>265</v>
      </c>
      <c r="C775" s="64" t="s">
        <v>263</v>
      </c>
      <c r="D775" s="65" t="s">
        <v>264</v>
      </c>
      <c r="E775" s="58" t="s">
        <v>260</v>
      </c>
      <c r="F775" s="59" t="s">
        <v>269</v>
      </c>
      <c r="H775" s="183" t="s">
        <v>1384</v>
      </c>
      <c r="I775" s="61" t="s">
        <v>248</v>
      </c>
      <c r="J775" s="62" t="s">
        <v>249</v>
      </c>
      <c r="K775" s="62" t="s">
        <v>250</v>
      </c>
      <c r="L775" s="63" t="s">
        <v>269</v>
      </c>
      <c r="M775">
        <v>1</v>
      </c>
    </row>
    <row r="776" spans="1:13" ht="16.5" thickBot="1" x14ac:dyDescent="0.3">
      <c r="A776" s="55" t="s">
        <v>1385</v>
      </c>
      <c r="B776" s="74" t="s">
        <v>257</v>
      </c>
      <c r="C776" s="74" t="s">
        <v>258</v>
      </c>
      <c r="D776" s="75" t="s">
        <v>259</v>
      </c>
      <c r="E776" s="58" t="s">
        <v>260</v>
      </c>
      <c r="F776" s="59" t="s">
        <v>1370</v>
      </c>
      <c r="H776" s="183" t="s">
        <v>1385</v>
      </c>
      <c r="I776" s="61" t="s">
        <v>248</v>
      </c>
      <c r="J776" s="62" t="s">
        <v>249</v>
      </c>
      <c r="K776" s="62" t="s">
        <v>250</v>
      </c>
      <c r="L776" s="63" t="s">
        <v>1370</v>
      </c>
      <c r="M776">
        <v>2</v>
      </c>
    </row>
    <row r="777" spans="1:13" ht="16.5" thickBot="1" x14ac:dyDescent="0.3">
      <c r="A777" s="55" t="s">
        <v>1386</v>
      </c>
      <c r="B777" s="64" t="s">
        <v>263</v>
      </c>
      <c r="C777" s="64" t="s">
        <v>264</v>
      </c>
      <c r="D777" s="65" t="s">
        <v>265</v>
      </c>
      <c r="E777" s="58" t="s">
        <v>260</v>
      </c>
      <c r="F777" s="59" t="s">
        <v>273</v>
      </c>
      <c r="H777" s="183" t="s">
        <v>1386</v>
      </c>
      <c r="I777" s="61" t="s">
        <v>250</v>
      </c>
      <c r="J777" s="62" t="s">
        <v>248</v>
      </c>
      <c r="K777" s="62" t="s">
        <v>249</v>
      </c>
      <c r="L777" s="67" t="s">
        <v>273</v>
      </c>
      <c r="M777">
        <v>1</v>
      </c>
    </row>
    <row r="778" spans="1:13" ht="16.5" thickBot="1" x14ac:dyDescent="0.3">
      <c r="A778" s="55" t="s">
        <v>1387</v>
      </c>
      <c r="B778" s="74" t="s">
        <v>258</v>
      </c>
      <c r="C778" s="74" t="s">
        <v>259</v>
      </c>
      <c r="D778" s="75" t="s">
        <v>257</v>
      </c>
      <c r="E778" s="58" t="s">
        <v>260</v>
      </c>
      <c r="F778" s="59" t="s">
        <v>1371</v>
      </c>
      <c r="H778" s="183" t="s">
        <v>1387</v>
      </c>
      <c r="I778" s="79" t="s">
        <v>250</v>
      </c>
      <c r="J778" s="80" t="s">
        <v>248</v>
      </c>
      <c r="K778" s="80" t="s">
        <v>249</v>
      </c>
      <c r="L778" s="63" t="s">
        <v>1371</v>
      </c>
      <c r="M778">
        <v>2</v>
      </c>
    </row>
    <row r="779" spans="1:13" ht="16.5" thickBot="1" x14ac:dyDescent="0.3">
      <c r="A779" s="55" t="s">
        <v>1388</v>
      </c>
      <c r="B779" s="76" t="s">
        <v>264</v>
      </c>
      <c r="C779" s="76" t="s">
        <v>265</v>
      </c>
      <c r="D779" s="77" t="s">
        <v>263</v>
      </c>
      <c r="E779" s="58" t="s">
        <v>260</v>
      </c>
      <c r="F779" s="59" t="s">
        <v>261</v>
      </c>
      <c r="H779" s="183" t="s">
        <v>1388</v>
      </c>
      <c r="I779" s="79" t="s">
        <v>249</v>
      </c>
      <c r="J779" s="80" t="s">
        <v>250</v>
      </c>
      <c r="K779" s="80" t="s">
        <v>248</v>
      </c>
      <c r="L779" s="63" t="s">
        <v>261</v>
      </c>
      <c r="M779">
        <v>1</v>
      </c>
    </row>
    <row r="780" spans="1:13" ht="16.5" thickBot="1" x14ac:dyDescent="0.3">
      <c r="A780" s="55" t="s">
        <v>1389</v>
      </c>
      <c r="B780" s="74" t="s">
        <v>259</v>
      </c>
      <c r="C780" s="74" t="s">
        <v>257</v>
      </c>
      <c r="D780" s="75" t="s">
        <v>258</v>
      </c>
      <c r="E780" s="58" t="s">
        <v>260</v>
      </c>
      <c r="F780" s="59" t="s">
        <v>245</v>
      </c>
      <c r="H780" s="183" t="s">
        <v>1389</v>
      </c>
      <c r="I780" s="61" t="s">
        <v>249</v>
      </c>
      <c r="J780" s="62" t="s">
        <v>250</v>
      </c>
      <c r="K780" s="62" t="s">
        <v>248</v>
      </c>
      <c r="L780" s="81" t="s">
        <v>245</v>
      </c>
      <c r="M780">
        <v>2</v>
      </c>
    </row>
    <row r="781" spans="1:13" ht="16.5" thickBot="1" x14ac:dyDescent="0.3">
      <c r="A781" s="55" t="s">
        <v>1390</v>
      </c>
      <c r="B781" s="64" t="s">
        <v>265</v>
      </c>
      <c r="C781" s="64" t="s">
        <v>263</v>
      </c>
      <c r="D781" s="65" t="s">
        <v>264</v>
      </c>
      <c r="E781" s="58" t="s">
        <v>260</v>
      </c>
      <c r="F781" s="59" t="s">
        <v>267</v>
      </c>
      <c r="H781" s="183" t="s">
        <v>1390</v>
      </c>
      <c r="I781" s="61" t="s">
        <v>248</v>
      </c>
      <c r="J781" s="62" t="s">
        <v>249</v>
      </c>
      <c r="K781" s="62" t="s">
        <v>250</v>
      </c>
      <c r="L781" s="67" t="s">
        <v>267</v>
      </c>
      <c r="M781">
        <v>1</v>
      </c>
    </row>
    <row r="782" spans="1:13" ht="16.5" thickBot="1" x14ac:dyDescent="0.3">
      <c r="A782" s="55" t="s">
        <v>1391</v>
      </c>
      <c r="B782" s="74" t="s">
        <v>257</v>
      </c>
      <c r="C782" s="74" t="s">
        <v>258</v>
      </c>
      <c r="D782" s="75" t="s">
        <v>259</v>
      </c>
      <c r="E782" s="58" t="s">
        <v>260</v>
      </c>
      <c r="F782" s="59" t="s">
        <v>269</v>
      </c>
      <c r="H782" s="183" t="s">
        <v>1391</v>
      </c>
      <c r="I782" s="61" t="s">
        <v>248</v>
      </c>
      <c r="J782" s="62" t="s">
        <v>249</v>
      </c>
      <c r="K782" s="62" t="s">
        <v>250</v>
      </c>
      <c r="L782" s="63" t="s">
        <v>269</v>
      </c>
      <c r="M782">
        <v>2</v>
      </c>
    </row>
    <row r="783" spans="1:13" ht="16.5" thickBot="1" x14ac:dyDescent="0.3">
      <c r="A783" s="55" t="s">
        <v>1392</v>
      </c>
      <c r="B783" s="64" t="s">
        <v>263</v>
      </c>
      <c r="C783" s="64" t="s">
        <v>264</v>
      </c>
      <c r="D783" s="65" t="s">
        <v>265</v>
      </c>
      <c r="E783" s="58" t="s">
        <v>260</v>
      </c>
      <c r="F783" s="59" t="s">
        <v>1370</v>
      </c>
      <c r="H783" s="183" t="s">
        <v>1392</v>
      </c>
      <c r="I783" s="61" t="s">
        <v>250</v>
      </c>
      <c r="J783" s="62" t="s">
        <v>248</v>
      </c>
      <c r="K783" s="62" t="s">
        <v>249</v>
      </c>
      <c r="L783" s="63" t="s">
        <v>1370</v>
      </c>
      <c r="M783">
        <v>1</v>
      </c>
    </row>
    <row r="784" spans="1:13" ht="16.5" thickBot="1" x14ac:dyDescent="0.3">
      <c r="A784" s="55" t="s">
        <v>1393</v>
      </c>
      <c r="B784" s="74" t="s">
        <v>258</v>
      </c>
      <c r="C784" s="74" t="s">
        <v>259</v>
      </c>
      <c r="D784" s="75" t="s">
        <v>257</v>
      </c>
      <c r="E784" s="58" t="s">
        <v>260</v>
      </c>
      <c r="F784" s="59" t="s">
        <v>273</v>
      </c>
      <c r="H784" s="183" t="s">
        <v>1393</v>
      </c>
      <c r="I784" s="79" t="s">
        <v>250</v>
      </c>
      <c r="J784" s="80" t="s">
        <v>248</v>
      </c>
      <c r="K784" s="80" t="s">
        <v>249</v>
      </c>
      <c r="L784" s="67" t="s">
        <v>273</v>
      </c>
      <c r="M784">
        <v>2</v>
      </c>
    </row>
    <row r="785" spans="1:13" ht="16.5" thickBot="1" x14ac:dyDescent="0.3">
      <c r="A785" s="55" t="s">
        <v>1394</v>
      </c>
      <c r="B785" s="76" t="s">
        <v>264</v>
      </c>
      <c r="C785" s="76" t="s">
        <v>265</v>
      </c>
      <c r="D785" s="77" t="s">
        <v>263</v>
      </c>
      <c r="E785" s="58" t="s">
        <v>260</v>
      </c>
      <c r="F785" s="59" t="s">
        <v>1371</v>
      </c>
      <c r="H785" s="183" t="s">
        <v>1394</v>
      </c>
      <c r="I785" s="79" t="s">
        <v>249</v>
      </c>
      <c r="J785" s="80" t="s">
        <v>250</v>
      </c>
      <c r="K785" s="80" t="s">
        <v>248</v>
      </c>
      <c r="L785" s="63" t="s">
        <v>1371</v>
      </c>
      <c r="M785">
        <v>1</v>
      </c>
    </row>
    <row r="786" spans="1:13" ht="16.5" thickBot="1" x14ac:dyDescent="0.3">
      <c r="A786" s="55" t="s">
        <v>1395</v>
      </c>
      <c r="B786" s="74" t="s">
        <v>259</v>
      </c>
      <c r="C786" s="74" t="s">
        <v>257</v>
      </c>
      <c r="D786" s="75" t="s">
        <v>258</v>
      </c>
      <c r="E786" s="58" t="s">
        <v>260</v>
      </c>
      <c r="F786" s="59" t="s">
        <v>261</v>
      </c>
      <c r="H786" s="183" t="s">
        <v>1395</v>
      </c>
      <c r="I786" s="61" t="s">
        <v>249</v>
      </c>
      <c r="J786" s="62" t="s">
        <v>250</v>
      </c>
      <c r="K786" s="62" t="s">
        <v>248</v>
      </c>
      <c r="L786" s="63" t="s">
        <v>261</v>
      </c>
      <c r="M786">
        <v>2</v>
      </c>
    </row>
    <row r="787" spans="1:13" ht="16.5" thickBot="1" x14ac:dyDescent="0.3">
      <c r="A787" s="55" t="s">
        <v>1396</v>
      </c>
      <c r="B787" s="64" t="s">
        <v>265</v>
      </c>
      <c r="C787" s="64" t="s">
        <v>263</v>
      </c>
      <c r="D787" s="65" t="s">
        <v>264</v>
      </c>
      <c r="E787" s="58" t="s">
        <v>260</v>
      </c>
      <c r="F787" s="59" t="s">
        <v>245</v>
      </c>
      <c r="H787" s="183" t="s">
        <v>1396</v>
      </c>
      <c r="I787" s="61" t="s">
        <v>248</v>
      </c>
      <c r="J787" s="62" t="s">
        <v>249</v>
      </c>
      <c r="K787" s="62" t="s">
        <v>250</v>
      </c>
      <c r="L787" s="81" t="s">
        <v>245</v>
      </c>
      <c r="M787">
        <v>1</v>
      </c>
    </row>
    <row r="788" spans="1:13" ht="16.5" thickBot="1" x14ac:dyDescent="0.3">
      <c r="A788" s="55" t="s">
        <v>1397</v>
      </c>
      <c r="B788" s="74" t="s">
        <v>257</v>
      </c>
      <c r="C788" s="74" t="s">
        <v>258</v>
      </c>
      <c r="D788" s="75" t="s">
        <v>259</v>
      </c>
      <c r="E788" s="58" t="s">
        <v>260</v>
      </c>
      <c r="F788" s="59" t="s">
        <v>267</v>
      </c>
      <c r="H788" s="183" t="s">
        <v>1397</v>
      </c>
      <c r="I788" s="61" t="s">
        <v>248</v>
      </c>
      <c r="J788" s="62" t="s">
        <v>249</v>
      </c>
      <c r="K788" s="62" t="s">
        <v>250</v>
      </c>
      <c r="L788" s="67" t="s">
        <v>267</v>
      </c>
      <c r="M788">
        <v>2</v>
      </c>
    </row>
    <row r="789" spans="1:13" ht="16.5" thickBot="1" x14ac:dyDescent="0.3">
      <c r="A789" s="55" t="s">
        <v>1398</v>
      </c>
      <c r="B789" s="64" t="s">
        <v>263</v>
      </c>
      <c r="C789" s="64" t="s">
        <v>264</v>
      </c>
      <c r="D789" s="65" t="s">
        <v>265</v>
      </c>
      <c r="E789" s="58" t="s">
        <v>260</v>
      </c>
      <c r="F789" s="59" t="s">
        <v>269</v>
      </c>
      <c r="H789" s="183" t="s">
        <v>1398</v>
      </c>
      <c r="I789" s="61" t="s">
        <v>250</v>
      </c>
      <c r="J789" s="62" t="s">
        <v>248</v>
      </c>
      <c r="K789" s="62" t="s">
        <v>249</v>
      </c>
      <c r="L789" s="63" t="s">
        <v>269</v>
      </c>
      <c r="M789">
        <v>1</v>
      </c>
    </row>
    <row r="790" spans="1:13" ht="16.5" thickBot="1" x14ac:dyDescent="0.3">
      <c r="A790" s="55" t="s">
        <v>1399</v>
      </c>
      <c r="B790" s="74" t="s">
        <v>258</v>
      </c>
      <c r="C790" s="74" t="s">
        <v>259</v>
      </c>
      <c r="D790" s="75" t="s">
        <v>257</v>
      </c>
      <c r="E790" s="58" t="s">
        <v>260</v>
      </c>
      <c r="F790" s="59" t="s">
        <v>1370</v>
      </c>
      <c r="H790" s="183" t="s">
        <v>1399</v>
      </c>
      <c r="I790" s="79" t="s">
        <v>250</v>
      </c>
      <c r="J790" s="80" t="s">
        <v>248</v>
      </c>
      <c r="K790" s="80" t="s">
        <v>249</v>
      </c>
      <c r="L790" s="63" t="s">
        <v>1370</v>
      </c>
      <c r="M790">
        <v>2</v>
      </c>
    </row>
    <row r="791" spans="1:13" ht="16.5" thickBot="1" x14ac:dyDescent="0.3">
      <c r="A791" s="55" t="s">
        <v>1400</v>
      </c>
      <c r="B791" s="76" t="s">
        <v>264</v>
      </c>
      <c r="C791" s="76" t="s">
        <v>265</v>
      </c>
      <c r="D791" s="77" t="s">
        <v>263</v>
      </c>
      <c r="E791" s="58" t="s">
        <v>260</v>
      </c>
      <c r="F791" s="59" t="s">
        <v>273</v>
      </c>
      <c r="H791" s="183" t="s">
        <v>1400</v>
      </c>
      <c r="I791" s="79" t="s">
        <v>249</v>
      </c>
      <c r="J791" s="80" t="s">
        <v>250</v>
      </c>
      <c r="K791" s="80" t="s">
        <v>248</v>
      </c>
      <c r="L791" s="67" t="s">
        <v>273</v>
      </c>
      <c r="M791">
        <v>1</v>
      </c>
    </row>
    <row r="792" spans="1:13" ht="16.5" thickBot="1" x14ac:dyDescent="0.3">
      <c r="A792" s="55" t="s">
        <v>1401</v>
      </c>
      <c r="B792" s="74" t="s">
        <v>259</v>
      </c>
      <c r="C792" s="74" t="s">
        <v>257</v>
      </c>
      <c r="D792" s="75" t="s">
        <v>258</v>
      </c>
      <c r="E792" s="58" t="s">
        <v>260</v>
      </c>
      <c r="F792" s="59" t="s">
        <v>1371</v>
      </c>
      <c r="H792" s="183" t="s">
        <v>1401</v>
      </c>
      <c r="I792" s="61" t="s">
        <v>249</v>
      </c>
      <c r="J792" s="62" t="s">
        <v>250</v>
      </c>
      <c r="K792" s="62" t="s">
        <v>248</v>
      </c>
      <c r="L792" s="63" t="s">
        <v>1371</v>
      </c>
      <c r="M792">
        <v>2</v>
      </c>
    </row>
    <row r="793" spans="1:13" ht="16.5" thickBot="1" x14ac:dyDescent="0.3">
      <c r="A793" s="55" t="s">
        <v>1402</v>
      </c>
      <c r="B793" s="64" t="s">
        <v>265</v>
      </c>
      <c r="C793" s="64" t="s">
        <v>263</v>
      </c>
      <c r="D793" s="65" t="s">
        <v>264</v>
      </c>
      <c r="E793" s="58" t="s">
        <v>260</v>
      </c>
      <c r="F793" s="59" t="s">
        <v>261</v>
      </c>
      <c r="H793" s="183" t="s">
        <v>1402</v>
      </c>
      <c r="I793" s="61" t="s">
        <v>248</v>
      </c>
      <c r="J793" s="62" t="s">
        <v>249</v>
      </c>
      <c r="K793" s="62" t="s">
        <v>250</v>
      </c>
      <c r="L793" s="63" t="s">
        <v>261</v>
      </c>
      <c r="M793">
        <v>1</v>
      </c>
    </row>
    <row r="794" spans="1:13" ht="16.5" thickBot="1" x14ac:dyDescent="0.3">
      <c r="A794" s="55" t="s">
        <v>1403</v>
      </c>
      <c r="B794" s="74" t="s">
        <v>257</v>
      </c>
      <c r="C794" s="74" t="s">
        <v>258</v>
      </c>
      <c r="D794" s="75" t="s">
        <v>259</v>
      </c>
      <c r="E794" s="58" t="s">
        <v>260</v>
      </c>
      <c r="F794" s="59" t="s">
        <v>245</v>
      </c>
      <c r="H794" s="183" t="s">
        <v>1403</v>
      </c>
      <c r="I794" s="61" t="s">
        <v>248</v>
      </c>
      <c r="J794" s="62" t="s">
        <v>249</v>
      </c>
      <c r="K794" s="62" t="s">
        <v>250</v>
      </c>
      <c r="L794" s="81" t="s">
        <v>245</v>
      </c>
      <c r="M794">
        <v>2</v>
      </c>
    </row>
    <row r="795" spans="1:13" ht="16.5" thickBot="1" x14ac:dyDescent="0.3">
      <c r="A795" s="55" t="s">
        <v>1404</v>
      </c>
      <c r="B795" s="64" t="s">
        <v>263</v>
      </c>
      <c r="C795" s="64" t="s">
        <v>264</v>
      </c>
      <c r="D795" s="65" t="s">
        <v>265</v>
      </c>
      <c r="E795" s="58" t="s">
        <v>260</v>
      </c>
      <c r="F795" s="59" t="s">
        <v>267</v>
      </c>
      <c r="H795" s="183" t="s">
        <v>1404</v>
      </c>
      <c r="I795" s="61" t="s">
        <v>250</v>
      </c>
      <c r="J795" s="62" t="s">
        <v>248</v>
      </c>
      <c r="K795" s="62" t="s">
        <v>249</v>
      </c>
      <c r="L795" s="67" t="s">
        <v>267</v>
      </c>
      <c r="M795">
        <v>1</v>
      </c>
    </row>
    <row r="796" spans="1:13" ht="16.5" thickBot="1" x14ac:dyDescent="0.3">
      <c r="A796" s="55" t="s">
        <v>1405</v>
      </c>
      <c r="B796" s="74" t="s">
        <v>258</v>
      </c>
      <c r="C796" s="74" t="s">
        <v>259</v>
      </c>
      <c r="D796" s="75" t="s">
        <v>257</v>
      </c>
      <c r="E796" s="58" t="s">
        <v>260</v>
      </c>
      <c r="F796" s="59" t="s">
        <v>269</v>
      </c>
      <c r="H796" s="183" t="s">
        <v>1405</v>
      </c>
      <c r="I796" s="79" t="s">
        <v>250</v>
      </c>
      <c r="J796" s="80" t="s">
        <v>248</v>
      </c>
      <c r="K796" s="80" t="s">
        <v>249</v>
      </c>
      <c r="L796" s="63" t="s">
        <v>269</v>
      </c>
      <c r="M796">
        <v>2</v>
      </c>
    </row>
    <row r="797" spans="1:13" ht="16.5" thickBot="1" x14ac:dyDescent="0.3">
      <c r="A797" s="55" t="s">
        <v>1406</v>
      </c>
      <c r="B797" s="76" t="s">
        <v>264</v>
      </c>
      <c r="C797" s="76" t="s">
        <v>265</v>
      </c>
      <c r="D797" s="77" t="s">
        <v>263</v>
      </c>
      <c r="E797" s="58" t="s">
        <v>260</v>
      </c>
      <c r="F797" s="59" t="s">
        <v>1370</v>
      </c>
      <c r="H797" s="183" t="s">
        <v>1406</v>
      </c>
      <c r="I797" s="79" t="s">
        <v>249</v>
      </c>
      <c r="J797" s="80" t="s">
        <v>250</v>
      </c>
      <c r="K797" s="80" t="s">
        <v>248</v>
      </c>
      <c r="L797" s="63" t="s">
        <v>1370</v>
      </c>
      <c r="M797">
        <v>1</v>
      </c>
    </row>
    <row r="798" spans="1:13" ht="16.5" thickBot="1" x14ac:dyDescent="0.3">
      <c r="A798" s="55" t="s">
        <v>1407</v>
      </c>
      <c r="B798" s="74" t="s">
        <v>259</v>
      </c>
      <c r="C798" s="74" t="s">
        <v>257</v>
      </c>
      <c r="D798" s="75" t="s">
        <v>258</v>
      </c>
      <c r="E798" s="58" t="s">
        <v>260</v>
      </c>
      <c r="F798" s="59" t="s">
        <v>273</v>
      </c>
      <c r="H798" s="183" t="s">
        <v>1407</v>
      </c>
      <c r="I798" s="61" t="s">
        <v>249</v>
      </c>
      <c r="J798" s="62" t="s">
        <v>250</v>
      </c>
      <c r="K798" s="62" t="s">
        <v>248</v>
      </c>
      <c r="L798" s="67" t="s">
        <v>273</v>
      </c>
      <c r="M798">
        <v>2</v>
      </c>
    </row>
    <row r="799" spans="1:13" ht="16.5" thickBot="1" x14ac:dyDescent="0.3">
      <c r="A799" s="55" t="s">
        <v>1408</v>
      </c>
      <c r="B799" s="64" t="s">
        <v>265</v>
      </c>
      <c r="C799" s="64" t="s">
        <v>263</v>
      </c>
      <c r="D799" s="65" t="s">
        <v>264</v>
      </c>
      <c r="E799" s="58" t="s">
        <v>260</v>
      </c>
      <c r="F799" s="59" t="s">
        <v>1371</v>
      </c>
      <c r="H799" s="183" t="s">
        <v>1408</v>
      </c>
      <c r="I799" s="61" t="s">
        <v>248</v>
      </c>
      <c r="J799" s="62" t="s">
        <v>249</v>
      </c>
      <c r="K799" s="62" t="s">
        <v>250</v>
      </c>
      <c r="L799" s="63" t="s">
        <v>1371</v>
      </c>
      <c r="M799">
        <v>1</v>
      </c>
    </row>
    <row r="800" spans="1:13" ht="16.5" thickBot="1" x14ac:dyDescent="0.3">
      <c r="A800" s="55" t="s">
        <v>1409</v>
      </c>
      <c r="B800" s="74" t="s">
        <v>257</v>
      </c>
      <c r="C800" s="74" t="s">
        <v>258</v>
      </c>
      <c r="D800" s="75" t="s">
        <v>259</v>
      </c>
      <c r="E800" s="58" t="s">
        <v>260</v>
      </c>
      <c r="F800" s="59" t="s">
        <v>261</v>
      </c>
      <c r="H800" s="183" t="s">
        <v>1409</v>
      </c>
      <c r="I800" s="61" t="s">
        <v>248</v>
      </c>
      <c r="J800" s="62" t="s">
        <v>249</v>
      </c>
      <c r="K800" s="62" t="s">
        <v>250</v>
      </c>
      <c r="L800" s="63" t="s">
        <v>261</v>
      </c>
      <c r="M800">
        <v>2</v>
      </c>
    </row>
    <row r="801" spans="1:13" ht="16.5" thickBot="1" x14ac:dyDescent="0.3">
      <c r="A801" s="55" t="s">
        <v>1410</v>
      </c>
      <c r="B801" s="64" t="s">
        <v>263</v>
      </c>
      <c r="C801" s="64" t="s">
        <v>264</v>
      </c>
      <c r="D801" s="65" t="s">
        <v>265</v>
      </c>
      <c r="E801" s="58" t="s">
        <v>260</v>
      </c>
      <c r="F801" s="59" t="s">
        <v>245</v>
      </c>
      <c r="H801" s="183" t="s">
        <v>1410</v>
      </c>
      <c r="I801" s="61" t="s">
        <v>250</v>
      </c>
      <c r="J801" s="62" t="s">
        <v>248</v>
      </c>
      <c r="K801" s="62" t="s">
        <v>249</v>
      </c>
      <c r="L801" s="81" t="s">
        <v>245</v>
      </c>
      <c r="M801">
        <v>1</v>
      </c>
    </row>
    <row r="802" spans="1:13" ht="16.5" thickBot="1" x14ac:dyDescent="0.3">
      <c r="A802" s="55" t="s">
        <v>1411</v>
      </c>
      <c r="B802" s="74" t="s">
        <v>258</v>
      </c>
      <c r="C802" s="74" t="s">
        <v>259</v>
      </c>
      <c r="D802" s="75" t="s">
        <v>257</v>
      </c>
      <c r="E802" s="58" t="s">
        <v>260</v>
      </c>
      <c r="F802" s="59" t="s">
        <v>267</v>
      </c>
      <c r="H802" s="183" t="s">
        <v>1411</v>
      </c>
      <c r="I802" s="79" t="s">
        <v>250</v>
      </c>
      <c r="J802" s="80" t="s">
        <v>248</v>
      </c>
      <c r="K802" s="80" t="s">
        <v>249</v>
      </c>
      <c r="L802" s="67" t="s">
        <v>267</v>
      </c>
      <c r="M802">
        <v>2</v>
      </c>
    </row>
    <row r="803" spans="1:13" ht="16.5" thickBot="1" x14ac:dyDescent="0.3">
      <c r="A803" s="55" t="s">
        <v>1412</v>
      </c>
      <c r="B803" s="76" t="s">
        <v>264</v>
      </c>
      <c r="C803" s="76" t="s">
        <v>265</v>
      </c>
      <c r="D803" s="77" t="s">
        <v>263</v>
      </c>
      <c r="E803" s="58" t="s">
        <v>260</v>
      </c>
      <c r="F803" s="59" t="s">
        <v>269</v>
      </c>
      <c r="H803" s="183" t="s">
        <v>1412</v>
      </c>
      <c r="I803" s="79" t="s">
        <v>249</v>
      </c>
      <c r="J803" s="80" t="s">
        <v>250</v>
      </c>
      <c r="K803" s="80" t="s">
        <v>248</v>
      </c>
      <c r="L803" s="63" t="s">
        <v>269</v>
      </c>
      <c r="M803">
        <v>1</v>
      </c>
    </row>
    <row r="804" spans="1:13" ht="16.5" thickBot="1" x14ac:dyDescent="0.3">
      <c r="A804" s="55" t="s">
        <v>1413</v>
      </c>
      <c r="B804" s="74" t="s">
        <v>259</v>
      </c>
      <c r="C804" s="74" t="s">
        <v>257</v>
      </c>
      <c r="D804" s="75" t="s">
        <v>258</v>
      </c>
      <c r="E804" s="58" t="s">
        <v>260</v>
      </c>
      <c r="F804" s="59" t="s">
        <v>1370</v>
      </c>
      <c r="H804" s="183" t="s">
        <v>1413</v>
      </c>
      <c r="I804" s="61" t="s">
        <v>249</v>
      </c>
      <c r="J804" s="62" t="s">
        <v>250</v>
      </c>
      <c r="K804" s="62" t="s">
        <v>248</v>
      </c>
      <c r="L804" s="63" t="s">
        <v>1370</v>
      </c>
      <c r="M804">
        <v>2</v>
      </c>
    </row>
    <row r="805" spans="1:13" ht="16.5" thickBot="1" x14ac:dyDescent="0.3">
      <c r="A805" s="55" t="s">
        <v>1414</v>
      </c>
      <c r="B805" s="64" t="s">
        <v>265</v>
      </c>
      <c r="C805" s="64" t="s">
        <v>263</v>
      </c>
      <c r="D805" s="65" t="s">
        <v>264</v>
      </c>
      <c r="E805" s="58" t="s">
        <v>260</v>
      </c>
      <c r="F805" s="59" t="s">
        <v>273</v>
      </c>
      <c r="H805" s="183" t="s">
        <v>1414</v>
      </c>
      <c r="I805" s="61" t="s">
        <v>248</v>
      </c>
      <c r="J805" s="62" t="s">
        <v>249</v>
      </c>
      <c r="K805" s="62" t="s">
        <v>250</v>
      </c>
      <c r="L805" s="67" t="s">
        <v>273</v>
      </c>
      <c r="M805">
        <v>1</v>
      </c>
    </row>
    <row r="806" spans="1:13" ht="16.5" thickBot="1" x14ac:dyDescent="0.3">
      <c r="A806" s="55" t="s">
        <v>1415</v>
      </c>
      <c r="B806" s="74" t="s">
        <v>257</v>
      </c>
      <c r="C806" s="74" t="s">
        <v>258</v>
      </c>
      <c r="D806" s="75" t="s">
        <v>259</v>
      </c>
      <c r="E806" s="58" t="s">
        <v>260</v>
      </c>
      <c r="F806" s="59" t="s">
        <v>1371</v>
      </c>
      <c r="H806" s="183" t="s">
        <v>1415</v>
      </c>
      <c r="I806" s="61" t="s">
        <v>248</v>
      </c>
      <c r="J806" s="62" t="s">
        <v>249</v>
      </c>
      <c r="K806" s="62" t="s">
        <v>250</v>
      </c>
      <c r="L806" s="63" t="s">
        <v>1371</v>
      </c>
      <c r="M806">
        <v>2</v>
      </c>
    </row>
    <row r="807" spans="1:13" ht="16.5" thickBot="1" x14ac:dyDescent="0.3">
      <c r="A807" s="55" t="s">
        <v>1416</v>
      </c>
      <c r="B807" s="64" t="s">
        <v>263</v>
      </c>
      <c r="C807" s="64" t="s">
        <v>264</v>
      </c>
      <c r="D807" s="65" t="s">
        <v>265</v>
      </c>
      <c r="E807" s="58" t="s">
        <v>260</v>
      </c>
      <c r="F807" s="59" t="s">
        <v>261</v>
      </c>
      <c r="H807" s="183" t="s">
        <v>1416</v>
      </c>
      <c r="I807" s="61" t="s">
        <v>250</v>
      </c>
      <c r="J807" s="62" t="s">
        <v>248</v>
      </c>
      <c r="K807" s="62" t="s">
        <v>249</v>
      </c>
      <c r="L807" s="63" t="s">
        <v>261</v>
      </c>
      <c r="M807">
        <v>1</v>
      </c>
    </row>
    <row r="808" spans="1:13" ht="16.5" thickBot="1" x14ac:dyDescent="0.3">
      <c r="A808" s="55" t="s">
        <v>1417</v>
      </c>
      <c r="B808" s="74" t="s">
        <v>258</v>
      </c>
      <c r="C808" s="74" t="s">
        <v>259</v>
      </c>
      <c r="D808" s="75" t="s">
        <v>257</v>
      </c>
      <c r="E808" s="58" t="s">
        <v>260</v>
      </c>
      <c r="F808" s="59" t="s">
        <v>245</v>
      </c>
      <c r="H808" s="183" t="s">
        <v>1417</v>
      </c>
      <c r="I808" s="79" t="s">
        <v>250</v>
      </c>
      <c r="J808" s="80" t="s">
        <v>248</v>
      </c>
      <c r="K808" s="80" t="s">
        <v>249</v>
      </c>
      <c r="L808" s="81" t="s">
        <v>245</v>
      </c>
      <c r="M808">
        <v>2</v>
      </c>
    </row>
    <row r="809" spans="1:13" ht="16.5" thickBot="1" x14ac:dyDescent="0.3">
      <c r="A809" s="55" t="s">
        <v>1418</v>
      </c>
      <c r="B809" s="76" t="s">
        <v>264</v>
      </c>
      <c r="C809" s="76" t="s">
        <v>265</v>
      </c>
      <c r="D809" s="77" t="s">
        <v>263</v>
      </c>
      <c r="E809" s="58" t="s">
        <v>260</v>
      </c>
      <c r="F809" s="59" t="s">
        <v>267</v>
      </c>
      <c r="H809" s="183" t="s">
        <v>1418</v>
      </c>
      <c r="I809" s="79" t="s">
        <v>249</v>
      </c>
      <c r="J809" s="80" t="s">
        <v>250</v>
      </c>
      <c r="K809" s="80" t="s">
        <v>248</v>
      </c>
      <c r="L809" s="67" t="s">
        <v>267</v>
      </c>
      <c r="M809">
        <v>1</v>
      </c>
    </row>
    <row r="810" spans="1:13" ht="16.5" thickBot="1" x14ac:dyDescent="0.3">
      <c r="A810" s="55" t="s">
        <v>1419</v>
      </c>
      <c r="B810" s="74" t="s">
        <v>259</v>
      </c>
      <c r="C810" s="74" t="s">
        <v>257</v>
      </c>
      <c r="D810" s="75" t="s">
        <v>258</v>
      </c>
      <c r="E810" s="58" t="s">
        <v>260</v>
      </c>
      <c r="F810" s="59" t="s">
        <v>269</v>
      </c>
      <c r="H810" s="183" t="s">
        <v>1419</v>
      </c>
      <c r="I810" s="61" t="s">
        <v>249</v>
      </c>
      <c r="J810" s="62" t="s">
        <v>250</v>
      </c>
      <c r="K810" s="62" t="s">
        <v>248</v>
      </c>
      <c r="L810" s="63" t="s">
        <v>269</v>
      </c>
      <c r="M810">
        <v>2</v>
      </c>
    </row>
    <row r="811" spans="1:13" ht="16.5" thickBot="1" x14ac:dyDescent="0.3">
      <c r="A811" s="55" t="s">
        <v>1420</v>
      </c>
      <c r="B811" s="64" t="s">
        <v>265</v>
      </c>
      <c r="C811" s="64" t="s">
        <v>263</v>
      </c>
      <c r="D811" s="65" t="s">
        <v>264</v>
      </c>
      <c r="E811" s="58" t="s">
        <v>260</v>
      </c>
      <c r="F811" s="59" t="s">
        <v>1370</v>
      </c>
      <c r="H811" s="183" t="s">
        <v>1420</v>
      </c>
      <c r="I811" s="61" t="s">
        <v>248</v>
      </c>
      <c r="J811" s="62" t="s">
        <v>249</v>
      </c>
      <c r="K811" s="62" t="s">
        <v>250</v>
      </c>
      <c r="L811" s="63" t="s">
        <v>1370</v>
      </c>
      <c r="M811">
        <v>1</v>
      </c>
    </row>
    <row r="812" spans="1:13" ht="16.5" thickBot="1" x14ac:dyDescent="0.3">
      <c r="A812" s="55" t="s">
        <v>1421</v>
      </c>
      <c r="B812" s="74" t="s">
        <v>257</v>
      </c>
      <c r="C812" s="74" t="s">
        <v>258</v>
      </c>
      <c r="D812" s="75" t="s">
        <v>259</v>
      </c>
      <c r="E812" s="58" t="s">
        <v>260</v>
      </c>
      <c r="F812" s="59" t="s">
        <v>273</v>
      </c>
      <c r="H812" s="183" t="s">
        <v>1421</v>
      </c>
      <c r="I812" s="61" t="s">
        <v>248</v>
      </c>
      <c r="J812" s="62" t="s">
        <v>249</v>
      </c>
      <c r="K812" s="62" t="s">
        <v>250</v>
      </c>
      <c r="L812" s="67" t="s">
        <v>273</v>
      </c>
      <c r="M812">
        <v>2</v>
      </c>
    </row>
    <row r="813" spans="1:13" ht="16.5" thickBot="1" x14ac:dyDescent="0.3">
      <c r="A813" s="55" t="s">
        <v>1422</v>
      </c>
      <c r="B813" s="64" t="s">
        <v>263</v>
      </c>
      <c r="C813" s="64" t="s">
        <v>264</v>
      </c>
      <c r="D813" s="65" t="s">
        <v>265</v>
      </c>
      <c r="E813" s="58" t="s">
        <v>260</v>
      </c>
      <c r="F813" s="59" t="s">
        <v>1371</v>
      </c>
      <c r="H813" s="183" t="s">
        <v>1422</v>
      </c>
      <c r="I813" s="61" t="s">
        <v>250</v>
      </c>
      <c r="J813" s="62" t="s">
        <v>248</v>
      </c>
      <c r="K813" s="62" t="s">
        <v>249</v>
      </c>
      <c r="L813" s="63" t="s">
        <v>1371</v>
      </c>
      <c r="M813">
        <v>1</v>
      </c>
    </row>
    <row r="814" spans="1:13" ht="16.5" thickBot="1" x14ac:dyDescent="0.3">
      <c r="A814" s="55" t="s">
        <v>1423</v>
      </c>
      <c r="B814" s="74" t="s">
        <v>258</v>
      </c>
      <c r="C814" s="74" t="s">
        <v>259</v>
      </c>
      <c r="D814" s="75" t="s">
        <v>257</v>
      </c>
      <c r="E814" s="58" t="s">
        <v>260</v>
      </c>
      <c r="F814" s="59" t="s">
        <v>261</v>
      </c>
      <c r="H814" s="183" t="s">
        <v>1423</v>
      </c>
      <c r="I814" s="79" t="s">
        <v>250</v>
      </c>
      <c r="J814" s="80" t="s">
        <v>248</v>
      </c>
      <c r="K814" s="80" t="s">
        <v>249</v>
      </c>
      <c r="L814" s="63" t="s">
        <v>261</v>
      </c>
      <c r="M814">
        <v>2</v>
      </c>
    </row>
    <row r="815" spans="1:13" ht="16.5" thickBot="1" x14ac:dyDescent="0.3">
      <c r="A815" s="55" t="s">
        <v>1424</v>
      </c>
      <c r="B815" s="76" t="s">
        <v>264</v>
      </c>
      <c r="C815" s="76" t="s">
        <v>265</v>
      </c>
      <c r="D815" s="77" t="s">
        <v>263</v>
      </c>
      <c r="E815" s="58" t="s">
        <v>260</v>
      </c>
      <c r="F815" s="59" t="s">
        <v>245</v>
      </c>
      <c r="H815" s="183" t="s">
        <v>1424</v>
      </c>
      <c r="I815" s="79" t="s">
        <v>249</v>
      </c>
      <c r="J815" s="80" t="s">
        <v>250</v>
      </c>
      <c r="K815" s="80" t="s">
        <v>248</v>
      </c>
      <c r="L815" s="81" t="s">
        <v>245</v>
      </c>
      <c r="M815">
        <v>1</v>
      </c>
    </row>
    <row r="816" spans="1:13" ht="16.5" thickBot="1" x14ac:dyDescent="0.3">
      <c r="A816" s="55" t="s">
        <v>1425</v>
      </c>
      <c r="B816" s="74" t="s">
        <v>259</v>
      </c>
      <c r="C816" s="74" t="s">
        <v>257</v>
      </c>
      <c r="D816" s="75" t="s">
        <v>258</v>
      </c>
      <c r="E816" s="58" t="s">
        <v>260</v>
      </c>
      <c r="F816" s="59" t="s">
        <v>267</v>
      </c>
      <c r="H816" s="183" t="s">
        <v>1425</v>
      </c>
      <c r="I816" s="61" t="s">
        <v>249</v>
      </c>
      <c r="J816" s="62" t="s">
        <v>250</v>
      </c>
      <c r="K816" s="62" t="s">
        <v>248</v>
      </c>
      <c r="L816" s="67" t="s">
        <v>267</v>
      </c>
      <c r="M816">
        <v>2</v>
      </c>
    </row>
    <row r="817" spans="1:13" ht="16.5" thickBot="1" x14ac:dyDescent="0.3">
      <c r="A817" s="55" t="s">
        <v>1426</v>
      </c>
      <c r="B817" s="64" t="s">
        <v>265</v>
      </c>
      <c r="C817" s="64" t="s">
        <v>263</v>
      </c>
      <c r="D817" s="65" t="s">
        <v>264</v>
      </c>
      <c r="E817" s="58" t="s">
        <v>260</v>
      </c>
      <c r="F817" s="59" t="s">
        <v>269</v>
      </c>
      <c r="H817" s="183" t="s">
        <v>1426</v>
      </c>
      <c r="I817" s="61" t="s">
        <v>248</v>
      </c>
      <c r="J817" s="62" t="s">
        <v>249</v>
      </c>
      <c r="K817" s="62" t="s">
        <v>250</v>
      </c>
      <c r="L817" s="63" t="s">
        <v>269</v>
      </c>
      <c r="M817">
        <v>1</v>
      </c>
    </row>
    <row r="818" spans="1:13" ht="16.5" thickBot="1" x14ac:dyDescent="0.3">
      <c r="A818" s="55" t="s">
        <v>1427</v>
      </c>
      <c r="B818" s="74" t="s">
        <v>257</v>
      </c>
      <c r="C818" s="74" t="s">
        <v>258</v>
      </c>
      <c r="D818" s="75" t="s">
        <v>259</v>
      </c>
      <c r="E818" s="58" t="s">
        <v>260</v>
      </c>
      <c r="F818" s="59" t="s">
        <v>1370</v>
      </c>
      <c r="H818" s="183" t="s">
        <v>1427</v>
      </c>
      <c r="I818" s="61" t="s">
        <v>248</v>
      </c>
      <c r="J818" s="62" t="s">
        <v>249</v>
      </c>
      <c r="K818" s="62" t="s">
        <v>250</v>
      </c>
      <c r="L818" s="63" t="s">
        <v>1370</v>
      </c>
      <c r="M818">
        <v>2</v>
      </c>
    </row>
    <row r="819" spans="1:13" ht="16.5" thickBot="1" x14ac:dyDescent="0.3">
      <c r="A819" s="55" t="s">
        <v>1428</v>
      </c>
      <c r="B819" s="64" t="s">
        <v>263</v>
      </c>
      <c r="C819" s="64" t="s">
        <v>264</v>
      </c>
      <c r="D819" s="65" t="s">
        <v>265</v>
      </c>
      <c r="E819" s="58" t="s">
        <v>260</v>
      </c>
      <c r="F819" s="59" t="s">
        <v>273</v>
      </c>
      <c r="H819" s="183" t="s">
        <v>1428</v>
      </c>
      <c r="I819" s="61" t="s">
        <v>250</v>
      </c>
      <c r="J819" s="62" t="s">
        <v>248</v>
      </c>
      <c r="K819" s="62" t="s">
        <v>249</v>
      </c>
      <c r="L819" s="67" t="s">
        <v>273</v>
      </c>
      <c r="M819">
        <v>1</v>
      </c>
    </row>
    <row r="820" spans="1:13" ht="16.5" thickBot="1" x14ac:dyDescent="0.3">
      <c r="A820" s="55" t="s">
        <v>1429</v>
      </c>
      <c r="B820" s="74" t="s">
        <v>258</v>
      </c>
      <c r="C820" s="74" t="s">
        <v>259</v>
      </c>
      <c r="D820" s="75" t="s">
        <v>257</v>
      </c>
      <c r="E820" s="58" t="s">
        <v>260</v>
      </c>
      <c r="F820" s="59" t="s">
        <v>1371</v>
      </c>
      <c r="H820" s="183" t="s">
        <v>1429</v>
      </c>
      <c r="I820" s="79" t="s">
        <v>250</v>
      </c>
      <c r="J820" s="80" t="s">
        <v>248</v>
      </c>
      <c r="K820" s="80" t="s">
        <v>249</v>
      </c>
      <c r="L820" s="63" t="s">
        <v>1371</v>
      </c>
      <c r="M820">
        <v>2</v>
      </c>
    </row>
    <row r="821" spans="1:13" ht="16.5" thickBot="1" x14ac:dyDescent="0.3">
      <c r="A821" s="55" t="s">
        <v>1430</v>
      </c>
      <c r="B821" s="76" t="s">
        <v>264</v>
      </c>
      <c r="C821" s="76" t="s">
        <v>265</v>
      </c>
      <c r="D821" s="77" t="s">
        <v>263</v>
      </c>
      <c r="E821" s="58" t="s">
        <v>260</v>
      </c>
      <c r="F821" s="59" t="s">
        <v>261</v>
      </c>
      <c r="H821" s="183" t="s">
        <v>1430</v>
      </c>
      <c r="I821" s="79" t="s">
        <v>249</v>
      </c>
      <c r="J821" s="80" t="s">
        <v>250</v>
      </c>
      <c r="K821" s="80" t="s">
        <v>248</v>
      </c>
      <c r="L821" s="63" t="s">
        <v>261</v>
      </c>
      <c r="M821">
        <v>1</v>
      </c>
    </row>
    <row r="822" spans="1:13" ht="16.5" thickBot="1" x14ac:dyDescent="0.3">
      <c r="A822" s="55" t="s">
        <v>1431</v>
      </c>
      <c r="B822" s="74" t="s">
        <v>259</v>
      </c>
      <c r="C822" s="74" t="s">
        <v>257</v>
      </c>
      <c r="D822" s="75" t="s">
        <v>258</v>
      </c>
      <c r="E822" s="58" t="s">
        <v>260</v>
      </c>
      <c r="F822" s="59" t="s">
        <v>245</v>
      </c>
      <c r="H822" s="183" t="s">
        <v>1431</v>
      </c>
      <c r="I822" s="61" t="s">
        <v>249</v>
      </c>
      <c r="J822" s="62" t="s">
        <v>250</v>
      </c>
      <c r="K822" s="62" t="s">
        <v>248</v>
      </c>
      <c r="L822" s="81" t="s">
        <v>245</v>
      </c>
      <c r="M822">
        <v>2</v>
      </c>
    </row>
    <row r="823" spans="1:13" ht="16.5" thickBot="1" x14ac:dyDescent="0.3">
      <c r="A823" s="55" t="s">
        <v>1432</v>
      </c>
      <c r="B823" s="64" t="s">
        <v>265</v>
      </c>
      <c r="C823" s="64" t="s">
        <v>263</v>
      </c>
      <c r="D823" s="65" t="s">
        <v>264</v>
      </c>
      <c r="E823" s="58" t="s">
        <v>260</v>
      </c>
      <c r="F823" s="59" t="s">
        <v>267</v>
      </c>
      <c r="H823" s="183" t="s">
        <v>1432</v>
      </c>
      <c r="I823" s="61" t="s">
        <v>248</v>
      </c>
      <c r="J823" s="62" t="s">
        <v>249</v>
      </c>
      <c r="K823" s="62" t="s">
        <v>250</v>
      </c>
      <c r="L823" s="67" t="s">
        <v>267</v>
      </c>
      <c r="M823">
        <v>1</v>
      </c>
    </row>
    <row r="824" spans="1:13" ht="16.5" thickBot="1" x14ac:dyDescent="0.3">
      <c r="A824" s="55" t="s">
        <v>1433</v>
      </c>
      <c r="B824" s="74" t="s">
        <v>257</v>
      </c>
      <c r="C824" s="74" t="s">
        <v>258</v>
      </c>
      <c r="D824" s="75" t="s">
        <v>259</v>
      </c>
      <c r="E824" s="58" t="s">
        <v>260</v>
      </c>
      <c r="F824" s="59" t="s">
        <v>269</v>
      </c>
      <c r="H824" s="183" t="s">
        <v>1433</v>
      </c>
      <c r="I824" s="61" t="s">
        <v>248</v>
      </c>
      <c r="J824" s="62" t="s">
        <v>249</v>
      </c>
      <c r="K824" s="62" t="s">
        <v>250</v>
      </c>
      <c r="L824" s="63" t="s">
        <v>269</v>
      </c>
      <c r="M824">
        <v>2</v>
      </c>
    </row>
    <row r="825" spans="1:13" ht="16.5" thickBot="1" x14ac:dyDescent="0.3">
      <c r="A825" s="55" t="s">
        <v>1434</v>
      </c>
      <c r="B825" s="64" t="s">
        <v>263</v>
      </c>
      <c r="C825" s="64" t="s">
        <v>264</v>
      </c>
      <c r="D825" s="65" t="s">
        <v>265</v>
      </c>
      <c r="E825" s="58" t="s">
        <v>260</v>
      </c>
      <c r="F825" s="59" t="s">
        <v>1370</v>
      </c>
      <c r="H825" s="183" t="s">
        <v>1434</v>
      </c>
      <c r="I825" s="61" t="s">
        <v>250</v>
      </c>
      <c r="J825" s="62" t="s">
        <v>248</v>
      </c>
      <c r="K825" s="62" t="s">
        <v>249</v>
      </c>
      <c r="L825" s="63" t="s">
        <v>1370</v>
      </c>
      <c r="M825">
        <v>1</v>
      </c>
    </row>
    <row r="826" spans="1:13" ht="16.5" thickBot="1" x14ac:dyDescent="0.3">
      <c r="A826" s="55" t="s">
        <v>1435</v>
      </c>
      <c r="B826" s="74" t="s">
        <v>258</v>
      </c>
      <c r="C826" s="74" t="s">
        <v>259</v>
      </c>
      <c r="D826" s="75" t="s">
        <v>257</v>
      </c>
      <c r="E826" s="58" t="s">
        <v>260</v>
      </c>
      <c r="F826" s="59" t="s">
        <v>273</v>
      </c>
      <c r="H826" s="183" t="s">
        <v>1435</v>
      </c>
      <c r="I826" s="79" t="s">
        <v>250</v>
      </c>
      <c r="J826" s="80" t="s">
        <v>248</v>
      </c>
      <c r="K826" s="80" t="s">
        <v>249</v>
      </c>
      <c r="L826" s="67" t="s">
        <v>273</v>
      </c>
      <c r="M826">
        <v>2</v>
      </c>
    </row>
    <row r="827" spans="1:13" ht="16.5" thickBot="1" x14ac:dyDescent="0.3">
      <c r="A827" s="55" t="s">
        <v>1436</v>
      </c>
      <c r="B827" s="76" t="s">
        <v>264</v>
      </c>
      <c r="C827" s="76" t="s">
        <v>265</v>
      </c>
      <c r="D827" s="77" t="s">
        <v>263</v>
      </c>
      <c r="E827" s="58" t="s">
        <v>260</v>
      </c>
      <c r="F827" s="59" t="s">
        <v>1371</v>
      </c>
      <c r="H827" s="183" t="s">
        <v>1436</v>
      </c>
      <c r="I827" s="79" t="s">
        <v>249</v>
      </c>
      <c r="J827" s="80" t="s">
        <v>250</v>
      </c>
      <c r="K827" s="80" t="s">
        <v>248</v>
      </c>
      <c r="L827" s="63" t="s">
        <v>1371</v>
      </c>
      <c r="M827">
        <v>1</v>
      </c>
    </row>
    <row r="828" spans="1:13" ht="16.5" thickBot="1" x14ac:dyDescent="0.3">
      <c r="A828" s="55" t="s">
        <v>1437</v>
      </c>
      <c r="B828" s="74" t="s">
        <v>259</v>
      </c>
      <c r="C828" s="74" t="s">
        <v>257</v>
      </c>
      <c r="D828" s="75" t="s">
        <v>258</v>
      </c>
      <c r="E828" s="58" t="s">
        <v>260</v>
      </c>
      <c r="F828" s="59" t="s">
        <v>261</v>
      </c>
      <c r="H828" s="183" t="s">
        <v>1437</v>
      </c>
      <c r="I828" s="61" t="s">
        <v>249</v>
      </c>
      <c r="J828" s="62" t="s">
        <v>250</v>
      </c>
      <c r="K828" s="62" t="s">
        <v>248</v>
      </c>
      <c r="L828" s="63" t="s">
        <v>261</v>
      </c>
      <c r="M828">
        <v>2</v>
      </c>
    </row>
    <row r="829" spans="1:13" ht="16.5" thickBot="1" x14ac:dyDescent="0.3">
      <c r="A829" s="55" t="s">
        <v>1438</v>
      </c>
      <c r="B829" s="64" t="s">
        <v>265</v>
      </c>
      <c r="C829" s="64" t="s">
        <v>263</v>
      </c>
      <c r="D829" s="65" t="s">
        <v>264</v>
      </c>
      <c r="E829" s="58" t="s">
        <v>260</v>
      </c>
      <c r="F829" s="59" t="s">
        <v>245</v>
      </c>
      <c r="H829" s="183" t="s">
        <v>1438</v>
      </c>
      <c r="I829" s="61" t="s">
        <v>248</v>
      </c>
      <c r="J829" s="62" t="s">
        <v>249</v>
      </c>
      <c r="K829" s="62" t="s">
        <v>250</v>
      </c>
      <c r="L829" s="81" t="s">
        <v>245</v>
      </c>
      <c r="M829">
        <v>1</v>
      </c>
    </row>
    <row r="830" spans="1:13" ht="16.5" thickBot="1" x14ac:dyDescent="0.3">
      <c r="A830" s="55" t="s">
        <v>1439</v>
      </c>
      <c r="B830" s="74" t="s">
        <v>257</v>
      </c>
      <c r="C830" s="74" t="s">
        <v>258</v>
      </c>
      <c r="D830" s="75" t="s">
        <v>259</v>
      </c>
      <c r="E830" s="58" t="s">
        <v>260</v>
      </c>
      <c r="F830" s="59" t="s">
        <v>267</v>
      </c>
      <c r="H830" s="183" t="s">
        <v>1439</v>
      </c>
      <c r="I830" s="61" t="s">
        <v>248</v>
      </c>
      <c r="J830" s="62" t="s">
        <v>249</v>
      </c>
      <c r="K830" s="62" t="s">
        <v>250</v>
      </c>
      <c r="L830" s="67" t="s">
        <v>267</v>
      </c>
      <c r="M830">
        <v>2</v>
      </c>
    </row>
    <row r="831" spans="1:13" ht="16.5" thickBot="1" x14ac:dyDescent="0.3">
      <c r="A831" s="55" t="s">
        <v>1440</v>
      </c>
      <c r="B831" s="64" t="s">
        <v>263</v>
      </c>
      <c r="C831" s="64" t="s">
        <v>264</v>
      </c>
      <c r="D831" s="65" t="s">
        <v>265</v>
      </c>
      <c r="E831" s="58" t="s">
        <v>260</v>
      </c>
      <c r="F831" s="59" t="s">
        <v>269</v>
      </c>
      <c r="H831" s="183" t="s">
        <v>1440</v>
      </c>
      <c r="I831" s="61" t="s">
        <v>250</v>
      </c>
      <c r="J831" s="62" t="s">
        <v>248</v>
      </c>
      <c r="K831" s="62" t="s">
        <v>249</v>
      </c>
      <c r="L831" s="63" t="s">
        <v>269</v>
      </c>
      <c r="M831">
        <v>1</v>
      </c>
    </row>
    <row r="832" spans="1:13" ht="16.5" thickBot="1" x14ac:dyDescent="0.3">
      <c r="A832" s="55" t="s">
        <v>1441</v>
      </c>
      <c r="B832" s="74" t="s">
        <v>258</v>
      </c>
      <c r="C832" s="74" t="s">
        <v>259</v>
      </c>
      <c r="D832" s="75" t="s">
        <v>257</v>
      </c>
      <c r="E832" s="58" t="s">
        <v>260</v>
      </c>
      <c r="F832" s="59" t="s">
        <v>1370</v>
      </c>
      <c r="H832" s="183" t="s">
        <v>1441</v>
      </c>
      <c r="I832" s="79" t="s">
        <v>250</v>
      </c>
      <c r="J832" s="80" t="s">
        <v>248</v>
      </c>
      <c r="K832" s="80" t="s">
        <v>249</v>
      </c>
      <c r="L832" s="63" t="s">
        <v>1370</v>
      </c>
      <c r="M832">
        <v>2</v>
      </c>
    </row>
    <row r="833" spans="1:13" ht="16.5" thickBot="1" x14ac:dyDescent="0.3">
      <c r="A833" s="55" t="s">
        <v>1442</v>
      </c>
      <c r="B833" s="76" t="s">
        <v>264</v>
      </c>
      <c r="C833" s="76" t="s">
        <v>265</v>
      </c>
      <c r="D833" s="77" t="s">
        <v>263</v>
      </c>
      <c r="E833" s="58" t="s">
        <v>260</v>
      </c>
      <c r="F833" s="59" t="s">
        <v>273</v>
      </c>
      <c r="H833" s="183" t="s">
        <v>1442</v>
      </c>
      <c r="I833" s="79" t="s">
        <v>249</v>
      </c>
      <c r="J833" s="80" t="s">
        <v>250</v>
      </c>
      <c r="K833" s="80" t="s">
        <v>248</v>
      </c>
      <c r="L833" s="67" t="s">
        <v>273</v>
      </c>
      <c r="M833">
        <v>1</v>
      </c>
    </row>
    <row r="834" spans="1:13" ht="16.5" thickBot="1" x14ac:dyDescent="0.3">
      <c r="A834" s="55" t="s">
        <v>1443</v>
      </c>
      <c r="B834" s="74" t="s">
        <v>259</v>
      </c>
      <c r="C834" s="74" t="s">
        <v>257</v>
      </c>
      <c r="D834" s="75" t="s">
        <v>258</v>
      </c>
      <c r="E834" s="58" t="s">
        <v>260</v>
      </c>
      <c r="F834" s="59" t="s">
        <v>1371</v>
      </c>
      <c r="H834" s="183" t="s">
        <v>1443</v>
      </c>
      <c r="I834" s="61" t="s">
        <v>249</v>
      </c>
      <c r="J834" s="62" t="s">
        <v>250</v>
      </c>
      <c r="K834" s="62" t="s">
        <v>248</v>
      </c>
      <c r="L834" s="63" t="s">
        <v>1371</v>
      </c>
      <c r="M834">
        <v>2</v>
      </c>
    </row>
    <row r="835" spans="1:13" ht="16.5" thickBot="1" x14ac:dyDescent="0.3">
      <c r="A835" s="55" t="s">
        <v>1444</v>
      </c>
      <c r="B835" s="64" t="s">
        <v>265</v>
      </c>
      <c r="C835" s="64" t="s">
        <v>263</v>
      </c>
      <c r="D835" s="65" t="s">
        <v>264</v>
      </c>
      <c r="E835" s="58" t="s">
        <v>260</v>
      </c>
      <c r="F835" s="59" t="s">
        <v>261</v>
      </c>
      <c r="H835" s="183" t="s">
        <v>1444</v>
      </c>
      <c r="I835" s="61" t="s">
        <v>248</v>
      </c>
      <c r="J835" s="62" t="s">
        <v>249</v>
      </c>
      <c r="K835" s="62" t="s">
        <v>250</v>
      </c>
      <c r="L835" s="63" t="s">
        <v>261</v>
      </c>
      <c r="M835">
        <v>1</v>
      </c>
    </row>
    <row r="836" spans="1:13" ht="16.5" thickBot="1" x14ac:dyDescent="0.3">
      <c r="A836" s="55" t="s">
        <v>1445</v>
      </c>
      <c r="B836" s="74" t="s">
        <v>257</v>
      </c>
      <c r="C836" s="74" t="s">
        <v>258</v>
      </c>
      <c r="D836" s="75" t="s">
        <v>259</v>
      </c>
      <c r="E836" s="58" t="s">
        <v>260</v>
      </c>
      <c r="F836" s="59" t="s">
        <v>245</v>
      </c>
      <c r="H836" s="183" t="s">
        <v>1445</v>
      </c>
      <c r="I836" s="61" t="s">
        <v>248</v>
      </c>
      <c r="J836" s="62" t="s">
        <v>249</v>
      </c>
      <c r="K836" s="62" t="s">
        <v>250</v>
      </c>
      <c r="L836" s="81" t="s">
        <v>245</v>
      </c>
      <c r="M836">
        <v>2</v>
      </c>
    </row>
    <row r="837" spans="1:13" ht="16.5" thickBot="1" x14ac:dyDescent="0.3">
      <c r="A837" s="55" t="s">
        <v>1446</v>
      </c>
      <c r="B837" s="64" t="s">
        <v>263</v>
      </c>
      <c r="C837" s="64" t="s">
        <v>264</v>
      </c>
      <c r="D837" s="65" t="s">
        <v>265</v>
      </c>
      <c r="E837" s="58" t="s">
        <v>260</v>
      </c>
      <c r="F837" s="59" t="s">
        <v>267</v>
      </c>
      <c r="H837" s="183" t="s">
        <v>1446</v>
      </c>
      <c r="I837" s="61" t="s">
        <v>250</v>
      </c>
      <c r="J837" s="62" t="s">
        <v>248</v>
      </c>
      <c r="K837" s="62" t="s">
        <v>249</v>
      </c>
      <c r="L837" s="67" t="s">
        <v>267</v>
      </c>
      <c r="M837">
        <v>1</v>
      </c>
    </row>
    <row r="838" spans="1:13" ht="16.5" thickBot="1" x14ac:dyDescent="0.3">
      <c r="A838" s="55" t="s">
        <v>1447</v>
      </c>
      <c r="B838" s="74" t="s">
        <v>258</v>
      </c>
      <c r="C838" s="74" t="s">
        <v>259</v>
      </c>
      <c r="D838" s="75" t="s">
        <v>257</v>
      </c>
      <c r="E838" s="58" t="s">
        <v>260</v>
      </c>
      <c r="F838" s="59" t="s">
        <v>269</v>
      </c>
      <c r="H838" s="183" t="s">
        <v>1447</v>
      </c>
      <c r="I838" s="79" t="s">
        <v>250</v>
      </c>
      <c r="J838" s="80" t="s">
        <v>248</v>
      </c>
      <c r="K838" s="80" t="s">
        <v>249</v>
      </c>
      <c r="L838" s="63" t="s">
        <v>269</v>
      </c>
      <c r="M838">
        <v>2</v>
      </c>
    </row>
    <row r="839" spans="1:13" ht="16.5" thickBot="1" x14ac:dyDescent="0.3">
      <c r="A839" s="55" t="s">
        <v>1448</v>
      </c>
      <c r="B839" s="76" t="s">
        <v>264</v>
      </c>
      <c r="C839" s="76" t="s">
        <v>265</v>
      </c>
      <c r="D839" s="77" t="s">
        <v>263</v>
      </c>
      <c r="E839" s="58" t="s">
        <v>260</v>
      </c>
      <c r="F839" s="59" t="s">
        <v>1370</v>
      </c>
      <c r="H839" s="183" t="s">
        <v>1448</v>
      </c>
      <c r="I839" s="79" t="s">
        <v>249</v>
      </c>
      <c r="J839" s="80" t="s">
        <v>250</v>
      </c>
      <c r="K839" s="80" t="s">
        <v>248</v>
      </c>
      <c r="L839" s="63" t="s">
        <v>1370</v>
      </c>
      <c r="M839">
        <v>1</v>
      </c>
    </row>
    <row r="840" spans="1:13" ht="16.5" thickBot="1" x14ac:dyDescent="0.3">
      <c r="A840" s="55" t="s">
        <v>1449</v>
      </c>
      <c r="B840" s="74" t="s">
        <v>259</v>
      </c>
      <c r="C840" s="74" t="s">
        <v>257</v>
      </c>
      <c r="D840" s="75" t="s">
        <v>258</v>
      </c>
      <c r="E840" s="58" t="s">
        <v>260</v>
      </c>
      <c r="F840" s="59" t="s">
        <v>273</v>
      </c>
      <c r="H840" s="183" t="s">
        <v>1449</v>
      </c>
      <c r="I840" s="61" t="s">
        <v>249</v>
      </c>
      <c r="J840" s="62" t="s">
        <v>250</v>
      </c>
      <c r="K840" s="62" t="s">
        <v>248</v>
      </c>
      <c r="L840" s="67" t="s">
        <v>273</v>
      </c>
      <c r="M840">
        <v>2</v>
      </c>
    </row>
    <row r="841" spans="1:13" ht="16.5" thickBot="1" x14ac:dyDescent="0.3">
      <c r="A841" s="55" t="s">
        <v>1450</v>
      </c>
      <c r="B841" s="64" t="s">
        <v>265</v>
      </c>
      <c r="C841" s="64" t="s">
        <v>263</v>
      </c>
      <c r="D841" s="65" t="s">
        <v>264</v>
      </c>
      <c r="E841" s="58" t="s">
        <v>260</v>
      </c>
      <c r="F841" s="59" t="s">
        <v>1371</v>
      </c>
      <c r="H841" s="183" t="s">
        <v>1450</v>
      </c>
      <c r="I841" s="61" t="s">
        <v>248</v>
      </c>
      <c r="J841" s="62" t="s">
        <v>249</v>
      </c>
      <c r="K841" s="62" t="s">
        <v>250</v>
      </c>
      <c r="L841" s="63" t="s">
        <v>1371</v>
      </c>
      <c r="M841">
        <v>1</v>
      </c>
    </row>
    <row r="842" spans="1:13" ht="16.5" thickBot="1" x14ac:dyDescent="0.3">
      <c r="A842" s="55" t="s">
        <v>1451</v>
      </c>
      <c r="B842" s="74" t="s">
        <v>257</v>
      </c>
      <c r="C842" s="74" t="s">
        <v>258</v>
      </c>
      <c r="D842" s="75" t="s">
        <v>259</v>
      </c>
      <c r="E842" s="58" t="s">
        <v>260</v>
      </c>
      <c r="F842" s="59" t="s">
        <v>261</v>
      </c>
      <c r="H842" s="183" t="s">
        <v>1451</v>
      </c>
      <c r="I842" s="61" t="s">
        <v>248</v>
      </c>
      <c r="J842" s="62" t="s">
        <v>249</v>
      </c>
      <c r="K842" s="62" t="s">
        <v>250</v>
      </c>
      <c r="L842" s="63" t="s">
        <v>261</v>
      </c>
      <c r="M842">
        <v>2</v>
      </c>
    </row>
    <row r="843" spans="1:13" ht="16.5" thickBot="1" x14ac:dyDescent="0.3">
      <c r="A843" s="55" t="s">
        <v>1452</v>
      </c>
      <c r="B843" s="64" t="s">
        <v>263</v>
      </c>
      <c r="C843" s="64" t="s">
        <v>264</v>
      </c>
      <c r="D843" s="65" t="s">
        <v>265</v>
      </c>
      <c r="E843" s="58" t="s">
        <v>260</v>
      </c>
      <c r="F843" s="59" t="s">
        <v>245</v>
      </c>
      <c r="H843" s="183" t="s">
        <v>1452</v>
      </c>
      <c r="I843" s="61" t="s">
        <v>250</v>
      </c>
      <c r="J843" s="62" t="s">
        <v>248</v>
      </c>
      <c r="K843" s="62" t="s">
        <v>249</v>
      </c>
      <c r="L843" s="81" t="s">
        <v>245</v>
      </c>
      <c r="M843">
        <v>1</v>
      </c>
    </row>
    <row r="844" spans="1:13" ht="16.5" thickBot="1" x14ac:dyDescent="0.3">
      <c r="A844" s="55" t="s">
        <v>1453</v>
      </c>
      <c r="B844" s="74" t="s">
        <v>258</v>
      </c>
      <c r="C844" s="74" t="s">
        <v>259</v>
      </c>
      <c r="D844" s="75" t="s">
        <v>257</v>
      </c>
      <c r="E844" s="58" t="s">
        <v>260</v>
      </c>
      <c r="F844" s="59" t="s">
        <v>267</v>
      </c>
      <c r="H844" s="183" t="s">
        <v>1453</v>
      </c>
      <c r="I844" s="79" t="s">
        <v>250</v>
      </c>
      <c r="J844" s="80" t="s">
        <v>248</v>
      </c>
      <c r="K844" s="80" t="s">
        <v>249</v>
      </c>
      <c r="L844" s="67" t="s">
        <v>267</v>
      </c>
      <c r="M844">
        <v>2</v>
      </c>
    </row>
    <row r="845" spans="1:13" ht="16.5" thickBot="1" x14ac:dyDescent="0.3">
      <c r="A845" s="55" t="s">
        <v>1454</v>
      </c>
      <c r="B845" s="76" t="s">
        <v>264</v>
      </c>
      <c r="C845" s="76" t="s">
        <v>265</v>
      </c>
      <c r="D845" s="77" t="s">
        <v>263</v>
      </c>
      <c r="E845" s="58" t="s">
        <v>260</v>
      </c>
      <c r="F845" s="59" t="s">
        <v>269</v>
      </c>
      <c r="H845" s="183" t="s">
        <v>1454</v>
      </c>
      <c r="I845" s="79" t="s">
        <v>249</v>
      </c>
      <c r="J845" s="80" t="s">
        <v>250</v>
      </c>
      <c r="K845" s="80" t="s">
        <v>248</v>
      </c>
      <c r="L845" s="63" t="s">
        <v>269</v>
      </c>
      <c r="M845">
        <v>1</v>
      </c>
    </row>
    <row r="846" spans="1:13" ht="16.5" thickBot="1" x14ac:dyDescent="0.3">
      <c r="A846" s="55" t="s">
        <v>1455</v>
      </c>
      <c r="B846" s="74" t="s">
        <v>259</v>
      </c>
      <c r="C846" s="74" t="s">
        <v>257</v>
      </c>
      <c r="D846" s="75" t="s">
        <v>258</v>
      </c>
      <c r="E846" s="58" t="s">
        <v>260</v>
      </c>
      <c r="F846" s="59" t="s">
        <v>1370</v>
      </c>
      <c r="H846" s="183" t="s">
        <v>1455</v>
      </c>
      <c r="I846" s="61" t="s">
        <v>249</v>
      </c>
      <c r="J846" s="62" t="s">
        <v>250</v>
      </c>
      <c r="K846" s="62" t="s">
        <v>248</v>
      </c>
      <c r="L846" s="63" t="s">
        <v>1370</v>
      </c>
      <c r="M846">
        <v>2</v>
      </c>
    </row>
    <row r="847" spans="1:13" ht="16.5" thickBot="1" x14ac:dyDescent="0.3">
      <c r="A847" s="55" t="s">
        <v>1456</v>
      </c>
      <c r="B847" s="64" t="s">
        <v>265</v>
      </c>
      <c r="C847" s="64" t="s">
        <v>263</v>
      </c>
      <c r="D847" s="65" t="s">
        <v>264</v>
      </c>
      <c r="E847" s="58" t="s">
        <v>260</v>
      </c>
      <c r="F847" s="59" t="s">
        <v>273</v>
      </c>
      <c r="H847" s="183" t="s">
        <v>1456</v>
      </c>
      <c r="I847" s="61" t="s">
        <v>248</v>
      </c>
      <c r="J847" s="62" t="s">
        <v>249</v>
      </c>
      <c r="K847" s="62" t="s">
        <v>250</v>
      </c>
      <c r="L847" s="67" t="s">
        <v>273</v>
      </c>
      <c r="M847">
        <v>1</v>
      </c>
    </row>
    <row r="848" spans="1:13" ht="16.5" thickBot="1" x14ac:dyDescent="0.3">
      <c r="A848" s="55" t="s">
        <v>1457</v>
      </c>
      <c r="B848" s="74" t="s">
        <v>257</v>
      </c>
      <c r="C848" s="74" t="s">
        <v>258</v>
      </c>
      <c r="D848" s="75" t="s">
        <v>259</v>
      </c>
      <c r="E848" s="58" t="s">
        <v>260</v>
      </c>
      <c r="F848" s="59" t="s">
        <v>1371</v>
      </c>
      <c r="H848" s="183" t="s">
        <v>1457</v>
      </c>
      <c r="I848" s="61" t="s">
        <v>248</v>
      </c>
      <c r="J848" s="62" t="s">
        <v>249</v>
      </c>
      <c r="K848" s="62" t="s">
        <v>250</v>
      </c>
      <c r="L848" s="63" t="s">
        <v>1371</v>
      </c>
      <c r="M848">
        <v>2</v>
      </c>
    </row>
    <row r="849" spans="1:13" ht="16.5" thickBot="1" x14ac:dyDescent="0.3">
      <c r="A849" s="55" t="s">
        <v>1458</v>
      </c>
      <c r="B849" s="64" t="s">
        <v>263</v>
      </c>
      <c r="C849" s="64" t="s">
        <v>264</v>
      </c>
      <c r="D849" s="65" t="s">
        <v>265</v>
      </c>
      <c r="E849" s="58" t="s">
        <v>260</v>
      </c>
      <c r="F849" s="59" t="s">
        <v>261</v>
      </c>
      <c r="H849" s="183" t="s">
        <v>1458</v>
      </c>
      <c r="I849" s="61" t="s">
        <v>250</v>
      </c>
      <c r="J849" s="62" t="s">
        <v>248</v>
      </c>
      <c r="K849" s="62" t="s">
        <v>249</v>
      </c>
      <c r="L849" s="63" t="s">
        <v>261</v>
      </c>
      <c r="M849">
        <v>1</v>
      </c>
    </row>
    <row r="850" spans="1:13" ht="16.5" thickBot="1" x14ac:dyDescent="0.3">
      <c r="A850" s="55" t="s">
        <v>1459</v>
      </c>
      <c r="B850" s="74" t="s">
        <v>258</v>
      </c>
      <c r="C850" s="74" t="s">
        <v>259</v>
      </c>
      <c r="D850" s="75" t="s">
        <v>257</v>
      </c>
      <c r="E850" s="58" t="s">
        <v>260</v>
      </c>
      <c r="F850" s="59" t="s">
        <v>245</v>
      </c>
      <c r="H850" s="183" t="s">
        <v>1459</v>
      </c>
      <c r="I850" s="79" t="s">
        <v>250</v>
      </c>
      <c r="J850" s="80" t="s">
        <v>248</v>
      </c>
      <c r="K850" s="80" t="s">
        <v>249</v>
      </c>
      <c r="L850" s="81" t="s">
        <v>245</v>
      </c>
      <c r="M850">
        <v>2</v>
      </c>
    </row>
    <row r="851" spans="1:13" ht="16.5" thickBot="1" x14ac:dyDescent="0.3">
      <c r="A851" s="55" t="s">
        <v>1460</v>
      </c>
      <c r="B851" s="76" t="s">
        <v>264</v>
      </c>
      <c r="C851" s="76" t="s">
        <v>265</v>
      </c>
      <c r="D851" s="77" t="s">
        <v>263</v>
      </c>
      <c r="E851" s="58" t="s">
        <v>260</v>
      </c>
      <c r="F851" s="59" t="s">
        <v>267</v>
      </c>
      <c r="H851" s="183" t="s">
        <v>1460</v>
      </c>
      <c r="I851" s="79" t="s">
        <v>249</v>
      </c>
      <c r="J851" s="80" t="s">
        <v>250</v>
      </c>
      <c r="K851" s="80" t="s">
        <v>248</v>
      </c>
      <c r="L851" s="67" t="s">
        <v>267</v>
      </c>
      <c r="M851">
        <v>1</v>
      </c>
    </row>
    <row r="852" spans="1:13" ht="16.5" thickBot="1" x14ac:dyDescent="0.3">
      <c r="A852" s="55" t="s">
        <v>1461</v>
      </c>
      <c r="B852" s="74" t="s">
        <v>259</v>
      </c>
      <c r="C852" s="74" t="s">
        <v>257</v>
      </c>
      <c r="D852" s="75" t="s">
        <v>258</v>
      </c>
      <c r="E852" s="58" t="s">
        <v>260</v>
      </c>
      <c r="F852" s="59" t="s">
        <v>269</v>
      </c>
      <c r="H852" s="183" t="s">
        <v>1461</v>
      </c>
      <c r="I852" s="61" t="s">
        <v>249</v>
      </c>
      <c r="J852" s="62" t="s">
        <v>250</v>
      </c>
      <c r="K852" s="62" t="s">
        <v>248</v>
      </c>
      <c r="L852" s="63" t="s">
        <v>269</v>
      </c>
      <c r="M852">
        <v>2</v>
      </c>
    </row>
    <row r="853" spans="1:13" ht="16.5" thickBot="1" x14ac:dyDescent="0.3">
      <c r="A853" s="55" t="s">
        <v>1462</v>
      </c>
      <c r="B853" s="64" t="s">
        <v>265</v>
      </c>
      <c r="C853" s="64" t="s">
        <v>263</v>
      </c>
      <c r="D853" s="65" t="s">
        <v>264</v>
      </c>
      <c r="E853" s="58" t="s">
        <v>260</v>
      </c>
      <c r="F853" s="59" t="s">
        <v>1370</v>
      </c>
      <c r="H853" s="183" t="s">
        <v>1462</v>
      </c>
      <c r="I853" s="61" t="s">
        <v>248</v>
      </c>
      <c r="J853" s="62" t="s">
        <v>249</v>
      </c>
      <c r="K853" s="62" t="s">
        <v>250</v>
      </c>
      <c r="L853" s="63" t="s">
        <v>1370</v>
      </c>
      <c r="M853">
        <v>1</v>
      </c>
    </row>
    <row r="854" spans="1:13" ht="16.5" thickBot="1" x14ac:dyDescent="0.3">
      <c r="A854" s="55" t="s">
        <v>1463</v>
      </c>
      <c r="B854" s="74" t="s">
        <v>257</v>
      </c>
      <c r="C854" s="74" t="s">
        <v>258</v>
      </c>
      <c r="D854" s="75" t="s">
        <v>259</v>
      </c>
      <c r="E854" s="58" t="s">
        <v>260</v>
      </c>
      <c r="F854" s="59" t="s">
        <v>273</v>
      </c>
      <c r="H854" s="183" t="s">
        <v>1463</v>
      </c>
      <c r="I854" s="61" t="s">
        <v>248</v>
      </c>
      <c r="J854" s="62" t="s">
        <v>249</v>
      </c>
      <c r="K854" s="62" t="s">
        <v>250</v>
      </c>
      <c r="L854" s="67" t="s">
        <v>273</v>
      </c>
      <c r="M854">
        <v>2</v>
      </c>
    </row>
    <row r="855" spans="1:13" ht="16.5" thickBot="1" x14ac:dyDescent="0.3">
      <c r="A855" s="55" t="s">
        <v>1464</v>
      </c>
      <c r="B855" s="64" t="s">
        <v>263</v>
      </c>
      <c r="C855" s="64" t="s">
        <v>264</v>
      </c>
      <c r="D855" s="65" t="s">
        <v>265</v>
      </c>
      <c r="E855" s="58" t="s">
        <v>260</v>
      </c>
      <c r="F855" s="59" t="s">
        <v>1371</v>
      </c>
      <c r="H855" s="183" t="s">
        <v>1464</v>
      </c>
      <c r="I855" s="61" t="s">
        <v>250</v>
      </c>
      <c r="J855" s="62" t="s">
        <v>248</v>
      </c>
      <c r="K855" s="62" t="s">
        <v>249</v>
      </c>
      <c r="L855" s="63" t="s">
        <v>1371</v>
      </c>
      <c r="M855">
        <v>1</v>
      </c>
    </row>
    <row r="856" spans="1:13" ht="16.5" thickBot="1" x14ac:dyDescent="0.3">
      <c r="A856" s="55" t="s">
        <v>1465</v>
      </c>
      <c r="B856" s="74" t="s">
        <v>258</v>
      </c>
      <c r="C856" s="74" t="s">
        <v>259</v>
      </c>
      <c r="D856" s="75" t="s">
        <v>257</v>
      </c>
      <c r="E856" s="58" t="s">
        <v>260</v>
      </c>
      <c r="F856" s="59" t="s">
        <v>261</v>
      </c>
      <c r="H856" s="183" t="s">
        <v>1465</v>
      </c>
      <c r="I856" s="79" t="s">
        <v>250</v>
      </c>
      <c r="J856" s="80" t="s">
        <v>248</v>
      </c>
      <c r="K856" s="80" t="s">
        <v>249</v>
      </c>
      <c r="L856" s="63" t="s">
        <v>261</v>
      </c>
      <c r="M856">
        <v>2</v>
      </c>
    </row>
    <row r="857" spans="1:13" ht="16.5" thickBot="1" x14ac:dyDescent="0.3">
      <c r="A857" s="55" t="s">
        <v>1466</v>
      </c>
      <c r="B857" s="76" t="s">
        <v>264</v>
      </c>
      <c r="C857" s="76" t="s">
        <v>265</v>
      </c>
      <c r="D857" s="77" t="s">
        <v>263</v>
      </c>
      <c r="E857" s="58" t="s">
        <v>260</v>
      </c>
      <c r="F857" s="59" t="s">
        <v>245</v>
      </c>
      <c r="H857" s="183" t="s">
        <v>1466</v>
      </c>
      <c r="I857" s="79" t="s">
        <v>249</v>
      </c>
      <c r="J857" s="80" t="s">
        <v>250</v>
      </c>
      <c r="K857" s="80" t="s">
        <v>248</v>
      </c>
      <c r="L857" s="81" t="s">
        <v>245</v>
      </c>
      <c r="M857">
        <v>1</v>
      </c>
    </row>
    <row r="858" spans="1:13" ht="16.5" thickBot="1" x14ac:dyDescent="0.3">
      <c r="A858" s="55" t="s">
        <v>1467</v>
      </c>
      <c r="B858" s="74" t="s">
        <v>259</v>
      </c>
      <c r="C858" s="74" t="s">
        <v>257</v>
      </c>
      <c r="D858" s="75" t="s">
        <v>258</v>
      </c>
      <c r="E858" s="58" t="s">
        <v>260</v>
      </c>
      <c r="F858" s="59" t="s">
        <v>267</v>
      </c>
      <c r="H858" s="183" t="s">
        <v>1467</v>
      </c>
      <c r="I858" s="61" t="s">
        <v>249</v>
      </c>
      <c r="J858" s="62" t="s">
        <v>250</v>
      </c>
      <c r="K858" s="62" t="s">
        <v>248</v>
      </c>
      <c r="L858" s="67" t="s">
        <v>267</v>
      </c>
      <c r="M858">
        <v>2</v>
      </c>
    </row>
    <row r="859" spans="1:13" ht="16.5" thickBot="1" x14ac:dyDescent="0.3">
      <c r="A859" s="55" t="s">
        <v>1468</v>
      </c>
      <c r="B859" s="64" t="s">
        <v>265</v>
      </c>
      <c r="C859" s="64" t="s">
        <v>263</v>
      </c>
      <c r="D859" s="65" t="s">
        <v>264</v>
      </c>
      <c r="E859" s="58" t="s">
        <v>260</v>
      </c>
      <c r="F859" s="59" t="s">
        <v>269</v>
      </c>
      <c r="H859" s="183" t="s">
        <v>1468</v>
      </c>
      <c r="I859" s="61" t="s">
        <v>248</v>
      </c>
      <c r="J859" s="62" t="s">
        <v>249</v>
      </c>
      <c r="K859" s="62" t="s">
        <v>250</v>
      </c>
      <c r="L859" s="63" t="s">
        <v>269</v>
      </c>
      <c r="M859">
        <v>1</v>
      </c>
    </row>
    <row r="860" spans="1:13" ht="16.5" thickBot="1" x14ac:dyDescent="0.3">
      <c r="A860" s="55" t="s">
        <v>1469</v>
      </c>
      <c r="B860" s="74" t="s">
        <v>257</v>
      </c>
      <c r="C860" s="74" t="s">
        <v>258</v>
      </c>
      <c r="D860" s="75" t="s">
        <v>259</v>
      </c>
      <c r="E860" s="58" t="s">
        <v>260</v>
      </c>
      <c r="F860" s="59" t="s">
        <v>1370</v>
      </c>
      <c r="H860" s="183" t="s">
        <v>1469</v>
      </c>
      <c r="I860" s="61" t="s">
        <v>248</v>
      </c>
      <c r="J860" s="62" t="s">
        <v>249</v>
      </c>
      <c r="K860" s="62" t="s">
        <v>250</v>
      </c>
      <c r="L860" s="63" t="s">
        <v>1370</v>
      </c>
      <c r="M860">
        <v>2</v>
      </c>
    </row>
    <row r="861" spans="1:13" ht="16.5" thickBot="1" x14ac:dyDescent="0.3">
      <c r="A861" s="55" t="s">
        <v>1470</v>
      </c>
      <c r="B861" s="64" t="s">
        <v>263</v>
      </c>
      <c r="C861" s="64" t="s">
        <v>264</v>
      </c>
      <c r="D861" s="65" t="s">
        <v>265</v>
      </c>
      <c r="E861" s="58" t="s">
        <v>260</v>
      </c>
      <c r="F861" s="59" t="s">
        <v>273</v>
      </c>
      <c r="H861" s="183" t="s">
        <v>1470</v>
      </c>
      <c r="I861" s="61" t="s">
        <v>250</v>
      </c>
      <c r="J861" s="62" t="s">
        <v>248</v>
      </c>
      <c r="K861" s="62" t="s">
        <v>249</v>
      </c>
      <c r="L861" s="67" t="s">
        <v>273</v>
      </c>
      <c r="M861">
        <v>1</v>
      </c>
    </row>
    <row r="862" spans="1:13" ht="16.5" thickBot="1" x14ac:dyDescent="0.3">
      <c r="A862" s="55" t="s">
        <v>1471</v>
      </c>
      <c r="B862" s="74" t="s">
        <v>258</v>
      </c>
      <c r="C862" s="74" t="s">
        <v>259</v>
      </c>
      <c r="D862" s="75" t="s">
        <v>257</v>
      </c>
      <c r="E862" s="58" t="s">
        <v>260</v>
      </c>
      <c r="F862" s="59" t="s">
        <v>1371</v>
      </c>
      <c r="H862" s="183" t="s">
        <v>1471</v>
      </c>
      <c r="I862" s="79" t="s">
        <v>250</v>
      </c>
      <c r="J862" s="80" t="s">
        <v>248</v>
      </c>
      <c r="K862" s="80" t="s">
        <v>249</v>
      </c>
      <c r="L862" s="63" t="s">
        <v>1371</v>
      </c>
      <c r="M862">
        <v>2</v>
      </c>
    </row>
    <row r="863" spans="1:13" ht="16.5" thickBot="1" x14ac:dyDescent="0.3">
      <c r="A863" s="55" t="s">
        <v>1472</v>
      </c>
      <c r="B863" s="76" t="s">
        <v>264</v>
      </c>
      <c r="C863" s="76" t="s">
        <v>265</v>
      </c>
      <c r="D863" s="77" t="s">
        <v>263</v>
      </c>
      <c r="E863" s="58" t="s">
        <v>260</v>
      </c>
      <c r="F863" s="59" t="s">
        <v>261</v>
      </c>
      <c r="H863" s="183" t="s">
        <v>1472</v>
      </c>
      <c r="I863" s="79" t="s">
        <v>249</v>
      </c>
      <c r="J863" s="80" t="s">
        <v>250</v>
      </c>
      <c r="K863" s="80" t="s">
        <v>248</v>
      </c>
      <c r="L863" s="63" t="s">
        <v>261</v>
      </c>
      <c r="M863">
        <v>1</v>
      </c>
    </row>
    <row r="864" spans="1:13" ht="16.5" thickBot="1" x14ac:dyDescent="0.3">
      <c r="A864" s="55" t="s">
        <v>1473</v>
      </c>
      <c r="B864" s="74" t="s">
        <v>259</v>
      </c>
      <c r="C864" s="74" t="s">
        <v>257</v>
      </c>
      <c r="D864" s="75" t="s">
        <v>258</v>
      </c>
      <c r="E864" s="58" t="s">
        <v>260</v>
      </c>
      <c r="F864" s="59" t="s">
        <v>245</v>
      </c>
      <c r="H864" s="183" t="s">
        <v>1473</v>
      </c>
      <c r="I864" s="61" t="s">
        <v>249</v>
      </c>
      <c r="J864" s="62" t="s">
        <v>250</v>
      </c>
      <c r="K864" s="62" t="s">
        <v>248</v>
      </c>
      <c r="L864" s="81" t="s">
        <v>245</v>
      </c>
      <c r="M864">
        <v>2</v>
      </c>
    </row>
    <row r="865" spans="1:13" ht="16.5" thickBot="1" x14ac:dyDescent="0.3">
      <c r="A865" s="55" t="s">
        <v>1474</v>
      </c>
      <c r="B865" s="64" t="s">
        <v>265</v>
      </c>
      <c r="C865" s="64" t="s">
        <v>263</v>
      </c>
      <c r="D865" s="65" t="s">
        <v>264</v>
      </c>
      <c r="E865" s="58" t="s">
        <v>260</v>
      </c>
      <c r="F865" s="59" t="s">
        <v>267</v>
      </c>
      <c r="H865" s="183" t="s">
        <v>1474</v>
      </c>
      <c r="I865" s="61" t="s">
        <v>248</v>
      </c>
      <c r="J865" s="62" t="s">
        <v>249</v>
      </c>
      <c r="K865" s="62" t="s">
        <v>250</v>
      </c>
      <c r="L865" s="67" t="s">
        <v>267</v>
      </c>
      <c r="M865">
        <v>1</v>
      </c>
    </row>
    <row r="866" spans="1:13" ht="16.5" thickBot="1" x14ac:dyDescent="0.3">
      <c r="A866" s="55" t="s">
        <v>1475</v>
      </c>
      <c r="B866" s="74" t="s">
        <v>257</v>
      </c>
      <c r="C866" s="74" t="s">
        <v>258</v>
      </c>
      <c r="D866" s="75" t="s">
        <v>259</v>
      </c>
      <c r="E866" s="58" t="s">
        <v>260</v>
      </c>
      <c r="F866" s="59" t="s">
        <v>269</v>
      </c>
      <c r="H866" s="183" t="s">
        <v>1475</v>
      </c>
      <c r="I866" s="61" t="s">
        <v>248</v>
      </c>
      <c r="J866" s="62" t="s">
        <v>249</v>
      </c>
      <c r="K866" s="62" t="s">
        <v>250</v>
      </c>
      <c r="L866" s="63" t="s">
        <v>269</v>
      </c>
      <c r="M866">
        <v>2</v>
      </c>
    </row>
    <row r="867" spans="1:13" ht="16.5" thickBot="1" x14ac:dyDescent="0.3">
      <c r="A867" s="55" t="s">
        <v>1476</v>
      </c>
      <c r="B867" s="64" t="s">
        <v>263</v>
      </c>
      <c r="C867" s="64" t="s">
        <v>264</v>
      </c>
      <c r="D867" s="65" t="s">
        <v>265</v>
      </c>
      <c r="E867" s="58" t="s">
        <v>260</v>
      </c>
      <c r="F867" s="59" t="s">
        <v>1370</v>
      </c>
      <c r="H867" s="183" t="s">
        <v>1476</v>
      </c>
      <c r="I867" s="61" t="s">
        <v>250</v>
      </c>
      <c r="J867" s="62" t="s">
        <v>248</v>
      </c>
      <c r="K867" s="62" t="s">
        <v>249</v>
      </c>
      <c r="L867" s="63" t="s">
        <v>1370</v>
      </c>
      <c r="M867">
        <v>1</v>
      </c>
    </row>
    <row r="868" spans="1:13" ht="16.5" thickBot="1" x14ac:dyDescent="0.3">
      <c r="A868" s="55" t="s">
        <v>1477</v>
      </c>
      <c r="B868" s="74" t="s">
        <v>258</v>
      </c>
      <c r="C868" s="74" t="s">
        <v>259</v>
      </c>
      <c r="D868" s="75" t="s">
        <v>257</v>
      </c>
      <c r="E868" s="58" t="s">
        <v>260</v>
      </c>
      <c r="F868" s="59" t="s">
        <v>273</v>
      </c>
      <c r="H868" s="183" t="s">
        <v>1477</v>
      </c>
      <c r="I868" s="79" t="s">
        <v>250</v>
      </c>
      <c r="J868" s="80" t="s">
        <v>248</v>
      </c>
      <c r="K868" s="80" t="s">
        <v>249</v>
      </c>
      <c r="L868" s="67" t="s">
        <v>273</v>
      </c>
      <c r="M868">
        <v>2</v>
      </c>
    </row>
    <row r="869" spans="1:13" ht="16.5" thickBot="1" x14ac:dyDescent="0.3">
      <c r="A869" s="55" t="s">
        <v>1478</v>
      </c>
      <c r="B869" s="76" t="s">
        <v>264</v>
      </c>
      <c r="C869" s="76" t="s">
        <v>265</v>
      </c>
      <c r="D869" s="77" t="s">
        <v>263</v>
      </c>
      <c r="E869" s="58" t="s">
        <v>260</v>
      </c>
      <c r="F869" s="59" t="s">
        <v>1371</v>
      </c>
      <c r="H869" s="183" t="s">
        <v>1478</v>
      </c>
      <c r="I869" s="79" t="s">
        <v>249</v>
      </c>
      <c r="J869" s="80" t="s">
        <v>250</v>
      </c>
      <c r="K869" s="80" t="s">
        <v>248</v>
      </c>
      <c r="L869" s="63" t="s">
        <v>1371</v>
      </c>
      <c r="M869">
        <v>1</v>
      </c>
    </row>
    <row r="870" spans="1:13" ht="16.5" thickBot="1" x14ac:dyDescent="0.3">
      <c r="A870" s="55" t="s">
        <v>1479</v>
      </c>
      <c r="B870" s="74" t="s">
        <v>259</v>
      </c>
      <c r="C870" s="74" t="s">
        <v>257</v>
      </c>
      <c r="D870" s="75" t="s">
        <v>258</v>
      </c>
      <c r="E870" s="58" t="s">
        <v>260</v>
      </c>
      <c r="F870" s="59" t="s">
        <v>261</v>
      </c>
      <c r="H870" s="183" t="s">
        <v>1479</v>
      </c>
      <c r="I870" s="61" t="s">
        <v>249</v>
      </c>
      <c r="J870" s="62" t="s">
        <v>250</v>
      </c>
      <c r="K870" s="62" t="s">
        <v>248</v>
      </c>
      <c r="L870" s="63" t="s">
        <v>261</v>
      </c>
      <c r="M870">
        <v>2</v>
      </c>
    </row>
    <row r="871" spans="1:13" ht="16.5" thickBot="1" x14ac:dyDescent="0.3">
      <c r="A871" s="55" t="s">
        <v>1480</v>
      </c>
      <c r="B871" s="64" t="s">
        <v>265</v>
      </c>
      <c r="C871" s="64" t="s">
        <v>263</v>
      </c>
      <c r="D871" s="65" t="s">
        <v>264</v>
      </c>
      <c r="E871" s="58" t="s">
        <v>260</v>
      </c>
      <c r="F871" s="59" t="s">
        <v>245</v>
      </c>
      <c r="H871" s="183" t="s">
        <v>1480</v>
      </c>
      <c r="I871" s="61" t="s">
        <v>248</v>
      </c>
      <c r="J871" s="62" t="s">
        <v>249</v>
      </c>
      <c r="K871" s="62" t="s">
        <v>250</v>
      </c>
      <c r="L871" s="81" t="s">
        <v>245</v>
      </c>
      <c r="M871">
        <v>1</v>
      </c>
    </row>
    <row r="872" spans="1:13" ht="16.5" thickBot="1" x14ac:dyDescent="0.3">
      <c r="A872" s="55" t="s">
        <v>1481</v>
      </c>
      <c r="B872" s="74" t="s">
        <v>257</v>
      </c>
      <c r="C872" s="74" t="s">
        <v>258</v>
      </c>
      <c r="D872" s="75" t="s">
        <v>259</v>
      </c>
      <c r="E872" s="58" t="s">
        <v>260</v>
      </c>
      <c r="F872" s="59" t="s">
        <v>267</v>
      </c>
      <c r="H872" s="183" t="s">
        <v>1481</v>
      </c>
      <c r="I872" s="61" t="s">
        <v>248</v>
      </c>
      <c r="J872" s="62" t="s">
        <v>249</v>
      </c>
      <c r="K872" s="62" t="s">
        <v>250</v>
      </c>
      <c r="L872" s="67" t="s">
        <v>267</v>
      </c>
      <c r="M872">
        <v>2</v>
      </c>
    </row>
    <row r="873" spans="1:13" ht="16.5" thickBot="1" x14ac:dyDescent="0.3">
      <c r="A873" s="55" t="s">
        <v>1482</v>
      </c>
      <c r="B873" s="64" t="s">
        <v>263</v>
      </c>
      <c r="C873" s="64" t="s">
        <v>264</v>
      </c>
      <c r="D873" s="65" t="s">
        <v>265</v>
      </c>
      <c r="E873" s="58" t="s">
        <v>260</v>
      </c>
      <c r="F873" s="59" t="s">
        <v>269</v>
      </c>
      <c r="H873" s="183" t="s">
        <v>1482</v>
      </c>
      <c r="I873" s="61" t="s">
        <v>250</v>
      </c>
      <c r="J873" s="62" t="s">
        <v>248</v>
      </c>
      <c r="K873" s="62" t="s">
        <v>249</v>
      </c>
      <c r="L873" s="63" t="s">
        <v>269</v>
      </c>
      <c r="M873">
        <v>1</v>
      </c>
    </row>
    <row r="874" spans="1:13" ht="16.5" thickBot="1" x14ac:dyDescent="0.3">
      <c r="A874" s="55" t="s">
        <v>1483</v>
      </c>
      <c r="B874" s="74" t="s">
        <v>258</v>
      </c>
      <c r="C874" s="74" t="s">
        <v>259</v>
      </c>
      <c r="D874" s="75" t="s">
        <v>257</v>
      </c>
      <c r="E874" s="58" t="s">
        <v>260</v>
      </c>
      <c r="F874" s="59" t="s">
        <v>1370</v>
      </c>
      <c r="H874" s="183" t="s">
        <v>1483</v>
      </c>
      <c r="I874" s="79" t="s">
        <v>250</v>
      </c>
      <c r="J874" s="80" t="s">
        <v>248</v>
      </c>
      <c r="K874" s="80" t="s">
        <v>249</v>
      </c>
      <c r="L874" s="63" t="s">
        <v>1370</v>
      </c>
      <c r="M874">
        <v>2</v>
      </c>
    </row>
    <row r="875" spans="1:13" ht="16.5" thickBot="1" x14ac:dyDescent="0.3">
      <c r="A875" s="55" t="s">
        <v>1484</v>
      </c>
      <c r="B875" s="76" t="s">
        <v>264</v>
      </c>
      <c r="C875" s="76" t="s">
        <v>265</v>
      </c>
      <c r="D875" s="77" t="s">
        <v>263</v>
      </c>
      <c r="E875" s="58" t="s">
        <v>260</v>
      </c>
      <c r="F875" s="59" t="s">
        <v>273</v>
      </c>
      <c r="H875" s="183" t="s">
        <v>1484</v>
      </c>
      <c r="I875" s="79" t="s">
        <v>249</v>
      </c>
      <c r="J875" s="80" t="s">
        <v>250</v>
      </c>
      <c r="K875" s="80" t="s">
        <v>248</v>
      </c>
      <c r="L875" s="67" t="s">
        <v>273</v>
      </c>
      <c r="M875">
        <v>1</v>
      </c>
    </row>
    <row r="876" spans="1:13" ht="16.5" thickBot="1" x14ac:dyDescent="0.3">
      <c r="A876" s="55" t="s">
        <v>1485</v>
      </c>
      <c r="B876" s="74" t="s">
        <v>259</v>
      </c>
      <c r="C876" s="74" t="s">
        <v>257</v>
      </c>
      <c r="D876" s="75" t="s">
        <v>258</v>
      </c>
      <c r="E876" s="58" t="s">
        <v>260</v>
      </c>
      <c r="F876" s="59" t="s">
        <v>1371</v>
      </c>
      <c r="H876" s="183" t="s">
        <v>1485</v>
      </c>
      <c r="I876" s="61" t="s">
        <v>249</v>
      </c>
      <c r="J876" s="62" t="s">
        <v>250</v>
      </c>
      <c r="K876" s="62" t="s">
        <v>248</v>
      </c>
      <c r="L876" s="63" t="s">
        <v>1371</v>
      </c>
      <c r="M876">
        <v>2</v>
      </c>
    </row>
    <row r="877" spans="1:13" ht="16.5" thickBot="1" x14ac:dyDescent="0.3">
      <c r="A877" s="55" t="s">
        <v>1486</v>
      </c>
      <c r="B877" s="64" t="s">
        <v>265</v>
      </c>
      <c r="C877" s="64" t="s">
        <v>263</v>
      </c>
      <c r="D877" s="65" t="s">
        <v>264</v>
      </c>
      <c r="E877" s="58" t="s">
        <v>260</v>
      </c>
      <c r="F877" s="59" t="s">
        <v>261</v>
      </c>
      <c r="H877" s="183" t="s">
        <v>1486</v>
      </c>
      <c r="I877" s="61" t="s">
        <v>248</v>
      </c>
      <c r="J877" s="62" t="s">
        <v>249</v>
      </c>
      <c r="K877" s="62" t="s">
        <v>250</v>
      </c>
      <c r="L877" s="63" t="s">
        <v>261</v>
      </c>
      <c r="M877">
        <v>1</v>
      </c>
    </row>
    <row r="878" spans="1:13" ht="16.5" thickBot="1" x14ac:dyDescent="0.3">
      <c r="A878" s="55" t="s">
        <v>1487</v>
      </c>
      <c r="B878" s="74" t="s">
        <v>257</v>
      </c>
      <c r="C878" s="74" t="s">
        <v>258</v>
      </c>
      <c r="D878" s="75" t="s">
        <v>259</v>
      </c>
      <c r="E878" s="58" t="s">
        <v>260</v>
      </c>
      <c r="F878" s="59" t="s">
        <v>245</v>
      </c>
      <c r="H878" s="183" t="s">
        <v>1487</v>
      </c>
      <c r="I878" s="61" t="s">
        <v>248</v>
      </c>
      <c r="J878" s="62" t="s">
        <v>249</v>
      </c>
      <c r="K878" s="62" t="s">
        <v>250</v>
      </c>
      <c r="L878" s="81" t="s">
        <v>245</v>
      </c>
      <c r="M878">
        <v>2</v>
      </c>
    </row>
    <row r="879" spans="1:13" ht="16.5" thickBot="1" x14ac:dyDescent="0.3">
      <c r="A879" s="55" t="s">
        <v>1488</v>
      </c>
      <c r="B879" s="64" t="s">
        <v>263</v>
      </c>
      <c r="C879" s="64" t="s">
        <v>264</v>
      </c>
      <c r="D879" s="65" t="s">
        <v>265</v>
      </c>
      <c r="E879" s="58" t="s">
        <v>260</v>
      </c>
      <c r="F879" s="59" t="s">
        <v>267</v>
      </c>
      <c r="H879" s="183" t="s">
        <v>1488</v>
      </c>
      <c r="I879" s="61" t="s">
        <v>250</v>
      </c>
      <c r="J879" s="62" t="s">
        <v>248</v>
      </c>
      <c r="K879" s="62" t="s">
        <v>249</v>
      </c>
      <c r="L879" s="67" t="s">
        <v>267</v>
      </c>
      <c r="M879">
        <v>1</v>
      </c>
    </row>
    <row r="880" spans="1:13" ht="16.5" thickBot="1" x14ac:dyDescent="0.3">
      <c r="A880" s="55" t="s">
        <v>1489</v>
      </c>
      <c r="B880" s="74" t="s">
        <v>258</v>
      </c>
      <c r="C880" s="74" t="s">
        <v>259</v>
      </c>
      <c r="D880" s="75" t="s">
        <v>257</v>
      </c>
      <c r="E880" s="58" t="s">
        <v>260</v>
      </c>
      <c r="F880" s="59" t="s">
        <v>269</v>
      </c>
      <c r="H880" s="183" t="s">
        <v>1489</v>
      </c>
      <c r="I880" s="79" t="s">
        <v>250</v>
      </c>
      <c r="J880" s="80" t="s">
        <v>248</v>
      </c>
      <c r="K880" s="80" t="s">
        <v>249</v>
      </c>
      <c r="L880" s="63" t="s">
        <v>269</v>
      </c>
      <c r="M880">
        <v>2</v>
      </c>
    </row>
    <row r="881" spans="1:13" ht="16.5" thickBot="1" x14ac:dyDescent="0.3">
      <c r="A881" s="55" t="s">
        <v>1490</v>
      </c>
      <c r="B881" s="76" t="s">
        <v>264</v>
      </c>
      <c r="C881" s="76" t="s">
        <v>265</v>
      </c>
      <c r="D881" s="77" t="s">
        <v>263</v>
      </c>
      <c r="E881" s="58" t="s">
        <v>260</v>
      </c>
      <c r="F881" s="59" t="s">
        <v>1370</v>
      </c>
      <c r="H881" s="183" t="s">
        <v>1490</v>
      </c>
      <c r="I881" s="79" t="s">
        <v>249</v>
      </c>
      <c r="J881" s="80" t="s">
        <v>250</v>
      </c>
      <c r="K881" s="80" t="s">
        <v>248</v>
      </c>
      <c r="L881" s="63" t="s">
        <v>1370</v>
      </c>
      <c r="M881">
        <v>1</v>
      </c>
    </row>
    <row r="882" spans="1:13" ht="16.5" thickBot="1" x14ac:dyDescent="0.3">
      <c r="A882" s="55" t="s">
        <v>1491</v>
      </c>
      <c r="B882" s="74" t="s">
        <v>259</v>
      </c>
      <c r="C882" s="74" t="s">
        <v>257</v>
      </c>
      <c r="D882" s="75" t="s">
        <v>258</v>
      </c>
      <c r="E882" s="58" t="s">
        <v>260</v>
      </c>
      <c r="F882" s="59" t="s">
        <v>273</v>
      </c>
      <c r="H882" s="183" t="s">
        <v>1491</v>
      </c>
      <c r="I882" s="61" t="s">
        <v>249</v>
      </c>
      <c r="J882" s="62" t="s">
        <v>250</v>
      </c>
      <c r="K882" s="62" t="s">
        <v>248</v>
      </c>
      <c r="L882" s="67" t="s">
        <v>273</v>
      </c>
      <c r="M882">
        <v>2</v>
      </c>
    </row>
    <row r="883" spans="1:13" ht="16.5" thickBot="1" x14ac:dyDescent="0.3">
      <c r="A883" s="55" t="s">
        <v>1492</v>
      </c>
      <c r="B883" s="64" t="s">
        <v>265</v>
      </c>
      <c r="C883" s="64" t="s">
        <v>263</v>
      </c>
      <c r="D883" s="65" t="s">
        <v>264</v>
      </c>
      <c r="E883" s="58" t="s">
        <v>260</v>
      </c>
      <c r="F883" s="59" t="s">
        <v>1371</v>
      </c>
      <c r="H883" s="183" t="s">
        <v>1492</v>
      </c>
      <c r="I883" s="61" t="s">
        <v>248</v>
      </c>
      <c r="J883" s="62" t="s">
        <v>249</v>
      </c>
      <c r="K883" s="62" t="s">
        <v>250</v>
      </c>
      <c r="L883" s="63" t="s">
        <v>1371</v>
      </c>
      <c r="M883">
        <v>1</v>
      </c>
    </row>
    <row r="884" spans="1:13" ht="16.5" thickBot="1" x14ac:dyDescent="0.3">
      <c r="A884" s="55" t="s">
        <v>1493</v>
      </c>
      <c r="B884" s="74" t="s">
        <v>257</v>
      </c>
      <c r="C884" s="74" t="s">
        <v>258</v>
      </c>
      <c r="D884" s="75" t="s">
        <v>259</v>
      </c>
      <c r="E884" s="58" t="s">
        <v>260</v>
      </c>
      <c r="F884" s="59" t="s">
        <v>261</v>
      </c>
      <c r="H884" s="183" t="s">
        <v>1493</v>
      </c>
      <c r="I884" s="61" t="s">
        <v>248</v>
      </c>
      <c r="J884" s="62" t="s">
        <v>249</v>
      </c>
      <c r="K884" s="62" t="s">
        <v>250</v>
      </c>
      <c r="L884" s="63" t="s">
        <v>261</v>
      </c>
      <c r="M884">
        <v>2</v>
      </c>
    </row>
    <row r="885" spans="1:13" ht="16.5" thickBot="1" x14ac:dyDescent="0.3">
      <c r="A885" s="55" t="s">
        <v>1494</v>
      </c>
      <c r="B885" s="64" t="s">
        <v>263</v>
      </c>
      <c r="C885" s="64" t="s">
        <v>264</v>
      </c>
      <c r="D885" s="65" t="s">
        <v>265</v>
      </c>
      <c r="E885" s="58" t="s">
        <v>260</v>
      </c>
      <c r="F885" s="59" t="s">
        <v>245</v>
      </c>
      <c r="H885" s="183" t="s">
        <v>1494</v>
      </c>
      <c r="I885" s="61" t="s">
        <v>250</v>
      </c>
      <c r="J885" s="62" t="s">
        <v>248</v>
      </c>
      <c r="K885" s="62" t="s">
        <v>249</v>
      </c>
      <c r="L885" s="81" t="s">
        <v>245</v>
      </c>
      <c r="M885">
        <v>1</v>
      </c>
    </row>
    <row r="886" spans="1:13" ht="16.5" thickBot="1" x14ac:dyDescent="0.3">
      <c r="A886" s="55" t="s">
        <v>1495</v>
      </c>
      <c r="B886" s="74" t="s">
        <v>258</v>
      </c>
      <c r="C886" s="74" t="s">
        <v>259</v>
      </c>
      <c r="D886" s="75" t="s">
        <v>257</v>
      </c>
      <c r="E886" s="58" t="s">
        <v>260</v>
      </c>
      <c r="F886" s="59" t="s">
        <v>267</v>
      </c>
      <c r="H886" s="183" t="s">
        <v>1495</v>
      </c>
      <c r="I886" s="79" t="s">
        <v>250</v>
      </c>
      <c r="J886" s="80" t="s">
        <v>248</v>
      </c>
      <c r="K886" s="80" t="s">
        <v>249</v>
      </c>
      <c r="L886" s="67" t="s">
        <v>267</v>
      </c>
      <c r="M886">
        <v>2</v>
      </c>
    </row>
    <row r="887" spans="1:13" ht="16.5" thickBot="1" x14ac:dyDescent="0.3">
      <c r="A887" s="55" t="s">
        <v>1496</v>
      </c>
      <c r="B887" s="76" t="s">
        <v>264</v>
      </c>
      <c r="C887" s="76" t="s">
        <v>265</v>
      </c>
      <c r="D887" s="77" t="s">
        <v>263</v>
      </c>
      <c r="E887" s="58" t="s">
        <v>260</v>
      </c>
      <c r="F887" s="59" t="s">
        <v>269</v>
      </c>
      <c r="H887" s="183" t="s">
        <v>1496</v>
      </c>
      <c r="I887" s="79" t="s">
        <v>249</v>
      </c>
      <c r="J887" s="80" t="s">
        <v>250</v>
      </c>
      <c r="K887" s="80" t="s">
        <v>248</v>
      </c>
      <c r="L887" s="63" t="s">
        <v>269</v>
      </c>
      <c r="M887">
        <v>1</v>
      </c>
    </row>
    <row r="888" spans="1:13" ht="16.5" thickBot="1" x14ac:dyDescent="0.3">
      <c r="A888" s="55" t="s">
        <v>1497</v>
      </c>
      <c r="B888" s="74" t="s">
        <v>259</v>
      </c>
      <c r="C888" s="74" t="s">
        <v>257</v>
      </c>
      <c r="D888" s="75" t="s">
        <v>258</v>
      </c>
      <c r="E888" s="58" t="s">
        <v>260</v>
      </c>
      <c r="F888" s="59" t="s">
        <v>1370</v>
      </c>
      <c r="H888" s="183" t="s">
        <v>1497</v>
      </c>
      <c r="I888" s="61" t="s">
        <v>249</v>
      </c>
      <c r="J888" s="62" t="s">
        <v>250</v>
      </c>
      <c r="K888" s="62" t="s">
        <v>248</v>
      </c>
      <c r="L888" s="63" t="s">
        <v>1370</v>
      </c>
      <c r="M888">
        <v>2</v>
      </c>
    </row>
    <row r="889" spans="1:13" ht="16.5" thickBot="1" x14ac:dyDescent="0.3">
      <c r="A889" s="55" t="s">
        <v>1498</v>
      </c>
      <c r="B889" s="64" t="s">
        <v>265</v>
      </c>
      <c r="C889" s="64" t="s">
        <v>263</v>
      </c>
      <c r="D889" s="65" t="s">
        <v>264</v>
      </c>
      <c r="E889" s="58" t="s">
        <v>260</v>
      </c>
      <c r="F889" s="59" t="s">
        <v>273</v>
      </c>
      <c r="H889" s="183" t="s">
        <v>1498</v>
      </c>
      <c r="I889" s="61" t="s">
        <v>248</v>
      </c>
      <c r="J889" s="62" t="s">
        <v>249</v>
      </c>
      <c r="K889" s="62" t="s">
        <v>250</v>
      </c>
      <c r="L889" s="67" t="s">
        <v>273</v>
      </c>
      <c r="M889">
        <v>1</v>
      </c>
    </row>
    <row r="890" spans="1:13" ht="16.5" thickBot="1" x14ac:dyDescent="0.3">
      <c r="A890" s="55" t="s">
        <v>1499</v>
      </c>
      <c r="B890" s="74" t="s">
        <v>257</v>
      </c>
      <c r="C890" s="74" t="s">
        <v>258</v>
      </c>
      <c r="D890" s="75" t="s">
        <v>259</v>
      </c>
      <c r="E890" s="58" t="s">
        <v>260</v>
      </c>
      <c r="F890" s="59" t="s">
        <v>1371</v>
      </c>
      <c r="H890" s="183" t="s">
        <v>1499</v>
      </c>
      <c r="I890" s="61" t="s">
        <v>248</v>
      </c>
      <c r="J890" s="62" t="s">
        <v>249</v>
      </c>
      <c r="K890" s="62" t="s">
        <v>250</v>
      </c>
      <c r="L890" s="63" t="s">
        <v>1371</v>
      </c>
      <c r="M890">
        <v>2</v>
      </c>
    </row>
    <row r="891" spans="1:13" ht="16.5" thickBot="1" x14ac:dyDescent="0.3">
      <c r="A891" s="55" t="s">
        <v>1500</v>
      </c>
      <c r="B891" s="64" t="s">
        <v>263</v>
      </c>
      <c r="C891" s="64" t="s">
        <v>264</v>
      </c>
      <c r="D891" s="65" t="s">
        <v>265</v>
      </c>
      <c r="E891" s="58" t="s">
        <v>260</v>
      </c>
      <c r="F891" s="59" t="s">
        <v>261</v>
      </c>
      <c r="H891" s="183" t="s">
        <v>1500</v>
      </c>
      <c r="I891" s="61" t="s">
        <v>250</v>
      </c>
      <c r="J891" s="62" t="s">
        <v>248</v>
      </c>
      <c r="K891" s="62" t="s">
        <v>249</v>
      </c>
      <c r="L891" s="63" t="s">
        <v>261</v>
      </c>
      <c r="M891">
        <v>1</v>
      </c>
    </row>
    <row r="892" spans="1:13" ht="16.5" thickBot="1" x14ac:dyDescent="0.3">
      <c r="A892" s="55" t="s">
        <v>1501</v>
      </c>
      <c r="B892" s="74" t="s">
        <v>258</v>
      </c>
      <c r="C892" s="74" t="s">
        <v>259</v>
      </c>
      <c r="D892" s="75" t="s">
        <v>257</v>
      </c>
      <c r="E892" s="58" t="s">
        <v>260</v>
      </c>
      <c r="F892" s="59" t="s">
        <v>245</v>
      </c>
      <c r="H892" s="183" t="s">
        <v>1501</v>
      </c>
      <c r="I892" s="79" t="s">
        <v>250</v>
      </c>
      <c r="J892" s="80" t="s">
        <v>248</v>
      </c>
      <c r="K892" s="80" t="s">
        <v>249</v>
      </c>
      <c r="L892" s="81" t="s">
        <v>245</v>
      </c>
      <c r="M892">
        <v>2</v>
      </c>
    </row>
    <row r="893" spans="1:13" ht="16.5" thickBot="1" x14ac:dyDescent="0.3">
      <c r="A893" s="55" t="s">
        <v>1502</v>
      </c>
      <c r="B893" s="76" t="s">
        <v>264</v>
      </c>
      <c r="C893" s="76" t="s">
        <v>265</v>
      </c>
      <c r="D893" s="77" t="s">
        <v>263</v>
      </c>
      <c r="E893" s="58" t="s">
        <v>260</v>
      </c>
      <c r="F893" s="59" t="s">
        <v>267</v>
      </c>
      <c r="H893" s="183" t="s">
        <v>1502</v>
      </c>
      <c r="I893" s="79" t="s">
        <v>249</v>
      </c>
      <c r="J893" s="80" t="s">
        <v>250</v>
      </c>
      <c r="K893" s="80" t="s">
        <v>248</v>
      </c>
      <c r="L893" s="67" t="s">
        <v>267</v>
      </c>
      <c r="M893">
        <v>1</v>
      </c>
    </row>
    <row r="894" spans="1:13" ht="16.5" thickBot="1" x14ac:dyDescent="0.3">
      <c r="A894" s="55" t="s">
        <v>1503</v>
      </c>
      <c r="B894" s="74" t="s">
        <v>259</v>
      </c>
      <c r="C894" s="74" t="s">
        <v>257</v>
      </c>
      <c r="D894" s="75" t="s">
        <v>258</v>
      </c>
      <c r="E894" s="58" t="s">
        <v>260</v>
      </c>
      <c r="F894" s="59" t="s">
        <v>269</v>
      </c>
      <c r="H894" s="183" t="s">
        <v>1503</v>
      </c>
      <c r="I894" s="61" t="s">
        <v>249</v>
      </c>
      <c r="J894" s="62" t="s">
        <v>250</v>
      </c>
      <c r="K894" s="62" t="s">
        <v>248</v>
      </c>
      <c r="L894" s="63" t="s">
        <v>269</v>
      </c>
      <c r="M894">
        <v>2</v>
      </c>
    </row>
    <row r="895" spans="1:13" ht="16.5" thickBot="1" x14ac:dyDescent="0.3">
      <c r="A895" s="55" t="s">
        <v>1504</v>
      </c>
      <c r="B895" s="64" t="s">
        <v>265</v>
      </c>
      <c r="C895" s="64" t="s">
        <v>263</v>
      </c>
      <c r="D895" s="65" t="s">
        <v>264</v>
      </c>
      <c r="E895" s="58" t="s">
        <v>260</v>
      </c>
      <c r="F895" s="59" t="s">
        <v>1370</v>
      </c>
      <c r="H895" s="183" t="s">
        <v>1504</v>
      </c>
      <c r="I895" s="61" t="s">
        <v>248</v>
      </c>
      <c r="J895" s="62" t="s">
        <v>249</v>
      </c>
      <c r="K895" s="62" t="s">
        <v>250</v>
      </c>
      <c r="L895" s="63" t="s">
        <v>1370</v>
      </c>
      <c r="M895">
        <v>1</v>
      </c>
    </row>
    <row r="896" spans="1:13" ht="16.5" thickBot="1" x14ac:dyDescent="0.3">
      <c r="A896" s="55" t="s">
        <v>1505</v>
      </c>
      <c r="B896" s="74" t="s">
        <v>257</v>
      </c>
      <c r="C896" s="74" t="s">
        <v>258</v>
      </c>
      <c r="D896" s="75" t="s">
        <v>259</v>
      </c>
      <c r="E896" s="58" t="s">
        <v>260</v>
      </c>
      <c r="F896" s="59" t="s">
        <v>273</v>
      </c>
      <c r="H896" s="183" t="s">
        <v>1505</v>
      </c>
      <c r="I896" s="61" t="s">
        <v>248</v>
      </c>
      <c r="J896" s="62" t="s">
        <v>249</v>
      </c>
      <c r="K896" s="62" t="s">
        <v>250</v>
      </c>
      <c r="L896" s="67" t="s">
        <v>273</v>
      </c>
      <c r="M896">
        <v>2</v>
      </c>
    </row>
    <row r="897" spans="1:13" ht="16.5" thickBot="1" x14ac:dyDescent="0.3">
      <c r="A897" s="55" t="s">
        <v>1506</v>
      </c>
      <c r="B897" s="64" t="s">
        <v>263</v>
      </c>
      <c r="C897" s="64" t="s">
        <v>264</v>
      </c>
      <c r="D897" s="65" t="s">
        <v>265</v>
      </c>
      <c r="E897" s="58" t="s">
        <v>260</v>
      </c>
      <c r="F897" s="59" t="s">
        <v>1371</v>
      </c>
      <c r="H897" s="183" t="s">
        <v>1506</v>
      </c>
      <c r="I897" s="61" t="s">
        <v>250</v>
      </c>
      <c r="J897" s="62" t="s">
        <v>248</v>
      </c>
      <c r="K897" s="62" t="s">
        <v>249</v>
      </c>
      <c r="L897" s="63" t="s">
        <v>1371</v>
      </c>
      <c r="M897">
        <v>1</v>
      </c>
    </row>
    <row r="898" spans="1:13" ht="16.5" thickBot="1" x14ac:dyDescent="0.3">
      <c r="A898" s="55" t="s">
        <v>1507</v>
      </c>
      <c r="B898" s="74" t="s">
        <v>258</v>
      </c>
      <c r="C898" s="74" t="s">
        <v>259</v>
      </c>
      <c r="D898" s="75" t="s">
        <v>257</v>
      </c>
      <c r="E898" s="58" t="s">
        <v>260</v>
      </c>
      <c r="F898" s="59" t="s">
        <v>261</v>
      </c>
      <c r="H898" s="183" t="s">
        <v>1507</v>
      </c>
      <c r="I898" s="79" t="s">
        <v>250</v>
      </c>
      <c r="J898" s="80" t="s">
        <v>248</v>
      </c>
      <c r="K898" s="80" t="s">
        <v>249</v>
      </c>
      <c r="L898" s="63" t="s">
        <v>261</v>
      </c>
      <c r="M898">
        <v>2</v>
      </c>
    </row>
    <row r="899" spans="1:13" ht="16.5" thickBot="1" x14ac:dyDescent="0.3">
      <c r="A899" s="55" t="s">
        <v>1508</v>
      </c>
      <c r="B899" s="76" t="s">
        <v>264</v>
      </c>
      <c r="C899" s="76" t="s">
        <v>265</v>
      </c>
      <c r="D899" s="77" t="s">
        <v>263</v>
      </c>
      <c r="E899" s="58" t="s">
        <v>260</v>
      </c>
      <c r="F899" s="59" t="s">
        <v>245</v>
      </c>
      <c r="H899" s="183" t="s">
        <v>1508</v>
      </c>
      <c r="I899" s="79" t="s">
        <v>249</v>
      </c>
      <c r="J899" s="80" t="s">
        <v>250</v>
      </c>
      <c r="K899" s="80" t="s">
        <v>248</v>
      </c>
      <c r="L899" s="81" t="s">
        <v>245</v>
      </c>
      <c r="M899">
        <v>1</v>
      </c>
    </row>
    <row r="900" spans="1:13" ht="16.5" thickBot="1" x14ac:dyDescent="0.3">
      <c r="A900" s="55" t="s">
        <v>1509</v>
      </c>
      <c r="B900" s="74" t="s">
        <v>259</v>
      </c>
      <c r="C900" s="74" t="s">
        <v>257</v>
      </c>
      <c r="D900" s="75" t="s">
        <v>258</v>
      </c>
      <c r="E900" s="58" t="s">
        <v>260</v>
      </c>
      <c r="F900" s="59" t="s">
        <v>267</v>
      </c>
      <c r="H900" s="183" t="s">
        <v>1509</v>
      </c>
      <c r="I900" s="61" t="s">
        <v>249</v>
      </c>
      <c r="J900" s="62" t="s">
        <v>250</v>
      </c>
      <c r="K900" s="62" t="s">
        <v>248</v>
      </c>
      <c r="L900" s="67" t="s">
        <v>267</v>
      </c>
      <c r="M900">
        <v>2</v>
      </c>
    </row>
    <row r="901" spans="1:13" ht="16.5" thickBot="1" x14ac:dyDescent="0.3">
      <c r="A901" s="55" t="s">
        <v>1510</v>
      </c>
      <c r="B901" s="64" t="s">
        <v>265</v>
      </c>
      <c r="C901" s="64" t="s">
        <v>263</v>
      </c>
      <c r="D901" s="65" t="s">
        <v>264</v>
      </c>
      <c r="E901" s="58" t="s">
        <v>260</v>
      </c>
      <c r="F901" s="59" t="s">
        <v>269</v>
      </c>
      <c r="H901" s="183" t="s">
        <v>1510</v>
      </c>
      <c r="I901" s="61" t="s">
        <v>248</v>
      </c>
      <c r="J901" s="62" t="s">
        <v>249</v>
      </c>
      <c r="K901" s="62" t="s">
        <v>250</v>
      </c>
      <c r="L901" s="63" t="s">
        <v>269</v>
      </c>
      <c r="M901">
        <v>1</v>
      </c>
    </row>
    <row r="902" spans="1:13" ht="16.5" thickBot="1" x14ac:dyDescent="0.3">
      <c r="A902" s="55" t="s">
        <v>1511</v>
      </c>
      <c r="B902" s="74" t="s">
        <v>257</v>
      </c>
      <c r="C902" s="74" t="s">
        <v>258</v>
      </c>
      <c r="D902" s="75" t="s">
        <v>259</v>
      </c>
      <c r="E902" s="58" t="s">
        <v>260</v>
      </c>
      <c r="F902" s="59" t="s">
        <v>1370</v>
      </c>
      <c r="H902" s="183" t="s">
        <v>1511</v>
      </c>
      <c r="I902" s="61" t="s">
        <v>248</v>
      </c>
      <c r="J902" s="62" t="s">
        <v>249</v>
      </c>
      <c r="K902" s="62" t="s">
        <v>250</v>
      </c>
      <c r="L902" s="63" t="s">
        <v>1370</v>
      </c>
      <c r="M902">
        <v>2</v>
      </c>
    </row>
    <row r="903" spans="1:13" ht="16.5" thickBot="1" x14ac:dyDescent="0.3">
      <c r="A903" s="55" t="s">
        <v>1512</v>
      </c>
      <c r="B903" s="64" t="s">
        <v>263</v>
      </c>
      <c r="C903" s="64" t="s">
        <v>264</v>
      </c>
      <c r="D903" s="65" t="s">
        <v>265</v>
      </c>
      <c r="E903" s="58" t="s">
        <v>260</v>
      </c>
      <c r="F903" s="59" t="s">
        <v>273</v>
      </c>
      <c r="H903" s="183" t="s">
        <v>1512</v>
      </c>
      <c r="I903" s="61" t="s">
        <v>250</v>
      </c>
      <c r="J903" s="62" t="s">
        <v>248</v>
      </c>
      <c r="K903" s="62" t="s">
        <v>249</v>
      </c>
      <c r="L903" s="67" t="s">
        <v>273</v>
      </c>
      <c r="M903">
        <v>1</v>
      </c>
    </row>
    <row r="904" spans="1:13" ht="16.5" thickBot="1" x14ac:dyDescent="0.3">
      <c r="A904" s="55" t="s">
        <v>1513</v>
      </c>
      <c r="B904" s="74" t="s">
        <v>258</v>
      </c>
      <c r="C904" s="74" t="s">
        <v>259</v>
      </c>
      <c r="D904" s="75" t="s">
        <v>257</v>
      </c>
      <c r="E904" s="58" t="s">
        <v>260</v>
      </c>
      <c r="F904" s="59" t="s">
        <v>1371</v>
      </c>
      <c r="H904" s="183" t="s">
        <v>1513</v>
      </c>
      <c r="I904" s="79" t="s">
        <v>250</v>
      </c>
      <c r="J904" s="80" t="s">
        <v>248</v>
      </c>
      <c r="K904" s="80" t="s">
        <v>249</v>
      </c>
      <c r="L904" s="63" t="s">
        <v>1371</v>
      </c>
      <c r="M904">
        <v>2</v>
      </c>
    </row>
    <row r="905" spans="1:13" ht="16.5" thickBot="1" x14ac:dyDescent="0.3">
      <c r="A905" s="55" t="s">
        <v>1514</v>
      </c>
      <c r="B905" s="76" t="s">
        <v>264</v>
      </c>
      <c r="C905" s="76" t="s">
        <v>265</v>
      </c>
      <c r="D905" s="77" t="s">
        <v>263</v>
      </c>
      <c r="E905" s="58" t="s">
        <v>260</v>
      </c>
      <c r="F905" s="59" t="s">
        <v>261</v>
      </c>
      <c r="H905" s="183" t="s">
        <v>1514</v>
      </c>
      <c r="I905" s="79" t="s">
        <v>249</v>
      </c>
      <c r="J905" s="80" t="s">
        <v>250</v>
      </c>
      <c r="K905" s="80" t="s">
        <v>248</v>
      </c>
      <c r="L905" s="63" t="s">
        <v>261</v>
      </c>
      <c r="M905">
        <v>1</v>
      </c>
    </row>
    <row r="906" spans="1:13" ht="16.5" thickBot="1" x14ac:dyDescent="0.3">
      <c r="A906" s="55" t="s">
        <v>1515</v>
      </c>
      <c r="B906" s="74" t="s">
        <v>259</v>
      </c>
      <c r="C906" s="74" t="s">
        <v>257</v>
      </c>
      <c r="D906" s="75" t="s">
        <v>258</v>
      </c>
      <c r="E906" s="58" t="s">
        <v>260</v>
      </c>
      <c r="F906" s="59" t="s">
        <v>245</v>
      </c>
      <c r="H906" s="183" t="s">
        <v>1515</v>
      </c>
      <c r="I906" s="61" t="s">
        <v>249</v>
      </c>
      <c r="J906" s="62" t="s">
        <v>250</v>
      </c>
      <c r="K906" s="62" t="s">
        <v>248</v>
      </c>
      <c r="L906" s="81" t="s">
        <v>245</v>
      </c>
      <c r="M906">
        <v>2</v>
      </c>
    </row>
    <row r="907" spans="1:13" ht="16.5" thickBot="1" x14ac:dyDescent="0.3">
      <c r="A907" s="55" t="s">
        <v>1516</v>
      </c>
      <c r="B907" s="64" t="s">
        <v>265</v>
      </c>
      <c r="C907" s="64" t="s">
        <v>263</v>
      </c>
      <c r="D907" s="65" t="s">
        <v>264</v>
      </c>
      <c r="E907" s="58" t="s">
        <v>260</v>
      </c>
      <c r="F907" s="59" t="s">
        <v>267</v>
      </c>
      <c r="H907" s="183" t="s">
        <v>1516</v>
      </c>
      <c r="I907" s="61" t="s">
        <v>248</v>
      </c>
      <c r="J907" s="62" t="s">
        <v>249</v>
      </c>
      <c r="K907" s="62" t="s">
        <v>250</v>
      </c>
      <c r="L907" s="67" t="s">
        <v>267</v>
      </c>
      <c r="M907">
        <v>1</v>
      </c>
    </row>
    <row r="908" spans="1:13" ht="16.5" thickBot="1" x14ac:dyDescent="0.3">
      <c r="A908" s="55" t="s">
        <v>1517</v>
      </c>
      <c r="B908" s="74" t="s">
        <v>257</v>
      </c>
      <c r="C908" s="74" t="s">
        <v>258</v>
      </c>
      <c r="D908" s="75" t="s">
        <v>259</v>
      </c>
      <c r="E908" s="58" t="s">
        <v>260</v>
      </c>
      <c r="F908" s="59" t="s">
        <v>269</v>
      </c>
      <c r="H908" s="183" t="s">
        <v>1517</v>
      </c>
      <c r="I908" s="61" t="s">
        <v>248</v>
      </c>
      <c r="J908" s="62" t="s">
        <v>249</v>
      </c>
      <c r="K908" s="62" t="s">
        <v>250</v>
      </c>
      <c r="L908" s="63" t="s">
        <v>269</v>
      </c>
      <c r="M908">
        <v>2</v>
      </c>
    </row>
    <row r="909" spans="1:13" ht="16.5" thickBot="1" x14ac:dyDescent="0.3">
      <c r="A909" s="55" t="s">
        <v>1518</v>
      </c>
      <c r="B909" s="64" t="s">
        <v>263</v>
      </c>
      <c r="C909" s="64" t="s">
        <v>264</v>
      </c>
      <c r="D909" s="65" t="s">
        <v>265</v>
      </c>
      <c r="E909" s="58" t="s">
        <v>260</v>
      </c>
      <c r="F909" s="59" t="s">
        <v>1370</v>
      </c>
      <c r="H909" s="183" t="s">
        <v>1518</v>
      </c>
      <c r="I909" s="61" t="s">
        <v>250</v>
      </c>
      <c r="J909" s="62" t="s">
        <v>248</v>
      </c>
      <c r="K909" s="62" t="s">
        <v>249</v>
      </c>
      <c r="L909" s="63" t="s">
        <v>1370</v>
      </c>
      <c r="M909">
        <v>1</v>
      </c>
    </row>
    <row r="910" spans="1:13" ht="16.5" thickBot="1" x14ac:dyDescent="0.3">
      <c r="A910" s="55" t="s">
        <v>1519</v>
      </c>
      <c r="B910" s="74" t="s">
        <v>258</v>
      </c>
      <c r="C910" s="74" t="s">
        <v>259</v>
      </c>
      <c r="D910" s="75" t="s">
        <v>257</v>
      </c>
      <c r="E910" s="58" t="s">
        <v>260</v>
      </c>
      <c r="F910" s="59" t="s">
        <v>273</v>
      </c>
      <c r="H910" s="183" t="s">
        <v>1519</v>
      </c>
      <c r="I910" s="79" t="s">
        <v>250</v>
      </c>
      <c r="J910" s="80" t="s">
        <v>248</v>
      </c>
      <c r="K910" s="80" t="s">
        <v>249</v>
      </c>
      <c r="L910" s="67" t="s">
        <v>273</v>
      </c>
      <c r="M910">
        <v>2</v>
      </c>
    </row>
    <row r="911" spans="1:13" ht="16.5" thickBot="1" x14ac:dyDescent="0.3">
      <c r="A911" s="55" t="s">
        <v>1520</v>
      </c>
      <c r="B911" s="76" t="s">
        <v>264</v>
      </c>
      <c r="C911" s="76" t="s">
        <v>265</v>
      </c>
      <c r="D911" s="77" t="s">
        <v>263</v>
      </c>
      <c r="E911" s="58" t="s">
        <v>260</v>
      </c>
      <c r="F911" s="59" t="s">
        <v>1371</v>
      </c>
      <c r="H911" s="183" t="s">
        <v>1520</v>
      </c>
      <c r="I911" s="79" t="s">
        <v>249</v>
      </c>
      <c r="J911" s="80" t="s">
        <v>250</v>
      </c>
      <c r="K911" s="80" t="s">
        <v>248</v>
      </c>
      <c r="L911" s="63" t="s">
        <v>1371</v>
      </c>
      <c r="M911">
        <v>1</v>
      </c>
    </row>
    <row r="912" spans="1:13" ht="16.5" thickBot="1" x14ac:dyDescent="0.3">
      <c r="A912" s="55" t="s">
        <v>1521</v>
      </c>
      <c r="B912" s="74" t="s">
        <v>259</v>
      </c>
      <c r="C912" s="74" t="s">
        <v>257</v>
      </c>
      <c r="D912" s="75" t="s">
        <v>258</v>
      </c>
      <c r="E912" s="58" t="s">
        <v>260</v>
      </c>
      <c r="F912" s="59" t="s">
        <v>261</v>
      </c>
      <c r="H912" s="183" t="s">
        <v>1521</v>
      </c>
      <c r="I912" s="61" t="s">
        <v>249</v>
      </c>
      <c r="J912" s="62" t="s">
        <v>250</v>
      </c>
      <c r="K912" s="62" t="s">
        <v>248</v>
      </c>
      <c r="L912" s="63" t="s">
        <v>261</v>
      </c>
      <c r="M912">
        <v>2</v>
      </c>
    </row>
    <row r="913" spans="1:13" ht="16.5" thickBot="1" x14ac:dyDescent="0.3">
      <c r="A913" s="55" t="s">
        <v>1522</v>
      </c>
      <c r="B913" s="64" t="s">
        <v>265</v>
      </c>
      <c r="C913" s="64" t="s">
        <v>263</v>
      </c>
      <c r="D913" s="65" t="s">
        <v>264</v>
      </c>
      <c r="E913" s="58" t="s">
        <v>260</v>
      </c>
      <c r="F913" s="59" t="s">
        <v>245</v>
      </c>
      <c r="H913" s="183" t="s">
        <v>1522</v>
      </c>
      <c r="I913" s="61" t="s">
        <v>248</v>
      </c>
      <c r="J913" s="62" t="s">
        <v>249</v>
      </c>
      <c r="K913" s="62" t="s">
        <v>250</v>
      </c>
      <c r="L913" s="81" t="s">
        <v>245</v>
      </c>
      <c r="M913">
        <v>1</v>
      </c>
    </row>
    <row r="914" spans="1:13" ht="16.5" thickBot="1" x14ac:dyDescent="0.3">
      <c r="A914" s="55" t="s">
        <v>1523</v>
      </c>
      <c r="B914" s="74" t="s">
        <v>257</v>
      </c>
      <c r="C914" s="74" t="s">
        <v>258</v>
      </c>
      <c r="D914" s="75" t="s">
        <v>259</v>
      </c>
      <c r="E914" s="58" t="s">
        <v>260</v>
      </c>
      <c r="F914" s="59" t="s">
        <v>267</v>
      </c>
      <c r="H914" s="183" t="s">
        <v>1523</v>
      </c>
      <c r="I914" s="61" t="s">
        <v>248</v>
      </c>
      <c r="J914" s="62" t="s">
        <v>249</v>
      </c>
      <c r="K914" s="62" t="s">
        <v>250</v>
      </c>
      <c r="L914" s="67" t="s">
        <v>267</v>
      </c>
      <c r="M914">
        <v>2</v>
      </c>
    </row>
    <row r="915" spans="1:13" ht="16.5" thickBot="1" x14ac:dyDescent="0.3">
      <c r="A915" s="55" t="s">
        <v>1524</v>
      </c>
      <c r="B915" s="64" t="s">
        <v>263</v>
      </c>
      <c r="C915" s="64" t="s">
        <v>264</v>
      </c>
      <c r="D915" s="65" t="s">
        <v>265</v>
      </c>
      <c r="E915" s="58" t="s">
        <v>260</v>
      </c>
      <c r="F915" s="59" t="s">
        <v>269</v>
      </c>
      <c r="H915" s="183" t="s">
        <v>1524</v>
      </c>
      <c r="I915" s="61" t="s">
        <v>250</v>
      </c>
      <c r="J915" s="62" t="s">
        <v>248</v>
      </c>
      <c r="K915" s="62" t="s">
        <v>249</v>
      </c>
      <c r="L915" s="63" t="s">
        <v>269</v>
      </c>
      <c r="M915">
        <v>1</v>
      </c>
    </row>
    <row r="916" spans="1:13" ht="16.5" thickBot="1" x14ac:dyDescent="0.3">
      <c r="A916" s="55" t="s">
        <v>1525</v>
      </c>
      <c r="B916" s="74" t="s">
        <v>258</v>
      </c>
      <c r="C916" s="74" t="s">
        <v>259</v>
      </c>
      <c r="D916" s="75" t="s">
        <v>257</v>
      </c>
      <c r="E916" s="58" t="s">
        <v>260</v>
      </c>
      <c r="F916" s="59" t="s">
        <v>1370</v>
      </c>
      <c r="H916" s="183" t="s">
        <v>1525</v>
      </c>
      <c r="I916" s="79" t="s">
        <v>250</v>
      </c>
      <c r="J916" s="80" t="s">
        <v>248</v>
      </c>
      <c r="K916" s="80" t="s">
        <v>249</v>
      </c>
      <c r="L916" s="63" t="s">
        <v>1370</v>
      </c>
      <c r="M916">
        <v>2</v>
      </c>
    </row>
    <row r="917" spans="1:13" ht="16.5" thickBot="1" x14ac:dyDescent="0.3">
      <c r="A917" s="55" t="s">
        <v>1526</v>
      </c>
      <c r="B917" s="76" t="s">
        <v>264</v>
      </c>
      <c r="C917" s="76" t="s">
        <v>265</v>
      </c>
      <c r="D917" s="77" t="s">
        <v>263</v>
      </c>
      <c r="E917" s="58" t="s">
        <v>260</v>
      </c>
      <c r="F917" s="59" t="s">
        <v>273</v>
      </c>
      <c r="H917" s="183" t="s">
        <v>1526</v>
      </c>
      <c r="I917" s="79" t="s">
        <v>249</v>
      </c>
      <c r="J917" s="80" t="s">
        <v>250</v>
      </c>
      <c r="K917" s="80" t="s">
        <v>248</v>
      </c>
      <c r="L917" s="67" t="s">
        <v>273</v>
      </c>
      <c r="M917">
        <v>1</v>
      </c>
    </row>
    <row r="918" spans="1:13" ht="16.5" thickBot="1" x14ac:dyDescent="0.3">
      <c r="A918" s="55" t="s">
        <v>1527</v>
      </c>
      <c r="B918" s="74" t="s">
        <v>259</v>
      </c>
      <c r="C918" s="74" t="s">
        <v>257</v>
      </c>
      <c r="D918" s="75" t="s">
        <v>258</v>
      </c>
      <c r="E918" s="58" t="s">
        <v>260</v>
      </c>
      <c r="F918" s="59" t="s">
        <v>1371</v>
      </c>
      <c r="H918" s="183" t="s">
        <v>1527</v>
      </c>
      <c r="I918" s="61" t="s">
        <v>249</v>
      </c>
      <c r="J918" s="62" t="s">
        <v>250</v>
      </c>
      <c r="K918" s="62" t="s">
        <v>248</v>
      </c>
      <c r="L918" s="63" t="s">
        <v>1371</v>
      </c>
      <c r="M918">
        <v>2</v>
      </c>
    </row>
    <row r="919" spans="1:13" ht="16.5" thickBot="1" x14ac:dyDescent="0.3">
      <c r="A919" s="55" t="s">
        <v>1528</v>
      </c>
      <c r="B919" s="64" t="s">
        <v>265</v>
      </c>
      <c r="C919" s="64" t="s">
        <v>263</v>
      </c>
      <c r="D919" s="65" t="s">
        <v>264</v>
      </c>
      <c r="E919" s="58" t="s">
        <v>260</v>
      </c>
      <c r="F919" s="59" t="s">
        <v>261</v>
      </c>
      <c r="H919" s="183" t="s">
        <v>1528</v>
      </c>
      <c r="I919" s="61" t="s">
        <v>248</v>
      </c>
      <c r="J919" s="62" t="s">
        <v>249</v>
      </c>
      <c r="K919" s="62" t="s">
        <v>250</v>
      </c>
      <c r="L919" s="63" t="s">
        <v>261</v>
      </c>
      <c r="M919">
        <v>1</v>
      </c>
    </row>
    <row r="920" spans="1:13" ht="16.5" thickBot="1" x14ac:dyDescent="0.3">
      <c r="A920" s="55" t="s">
        <v>1529</v>
      </c>
      <c r="B920" s="74" t="s">
        <v>257</v>
      </c>
      <c r="C920" s="74" t="s">
        <v>258</v>
      </c>
      <c r="D920" s="75" t="s">
        <v>259</v>
      </c>
      <c r="E920" s="58" t="s">
        <v>260</v>
      </c>
      <c r="F920" s="59" t="s">
        <v>245</v>
      </c>
      <c r="H920" s="183" t="s">
        <v>1529</v>
      </c>
      <c r="I920" s="61" t="s">
        <v>248</v>
      </c>
      <c r="J920" s="62" t="s">
        <v>249</v>
      </c>
      <c r="K920" s="62" t="s">
        <v>250</v>
      </c>
      <c r="L920" s="81" t="s">
        <v>245</v>
      </c>
      <c r="M920">
        <v>2</v>
      </c>
    </row>
    <row r="921" spans="1:13" ht="16.5" thickBot="1" x14ac:dyDescent="0.3">
      <c r="A921" s="55" t="s">
        <v>1530</v>
      </c>
      <c r="B921" s="64" t="s">
        <v>263</v>
      </c>
      <c r="C921" s="64" t="s">
        <v>264</v>
      </c>
      <c r="D921" s="65" t="s">
        <v>265</v>
      </c>
      <c r="E921" s="58" t="s">
        <v>260</v>
      </c>
      <c r="F921" s="59" t="s">
        <v>267</v>
      </c>
      <c r="H921" s="183" t="s">
        <v>1530</v>
      </c>
      <c r="I921" s="61" t="s">
        <v>250</v>
      </c>
      <c r="J921" s="62" t="s">
        <v>248</v>
      </c>
      <c r="K921" s="62" t="s">
        <v>249</v>
      </c>
      <c r="L921" s="67" t="s">
        <v>267</v>
      </c>
      <c r="M921">
        <v>1</v>
      </c>
    </row>
    <row r="922" spans="1:13" ht="16.5" thickBot="1" x14ac:dyDescent="0.3">
      <c r="A922" s="55" t="s">
        <v>1531</v>
      </c>
      <c r="B922" s="74" t="s">
        <v>258</v>
      </c>
      <c r="C922" s="74" t="s">
        <v>259</v>
      </c>
      <c r="D922" s="75" t="s">
        <v>257</v>
      </c>
      <c r="E922" s="58" t="s">
        <v>260</v>
      </c>
      <c r="F922" s="59" t="s">
        <v>269</v>
      </c>
      <c r="H922" s="183" t="s">
        <v>1531</v>
      </c>
      <c r="I922" s="79" t="s">
        <v>250</v>
      </c>
      <c r="J922" s="80" t="s">
        <v>248</v>
      </c>
      <c r="K922" s="80" t="s">
        <v>249</v>
      </c>
      <c r="L922" s="63" t="s">
        <v>269</v>
      </c>
      <c r="M922">
        <v>2</v>
      </c>
    </row>
    <row r="923" spans="1:13" ht="16.5" thickBot="1" x14ac:dyDescent="0.3">
      <c r="A923" s="55" t="s">
        <v>1532</v>
      </c>
      <c r="B923" s="76" t="s">
        <v>264</v>
      </c>
      <c r="C923" s="76" t="s">
        <v>265</v>
      </c>
      <c r="D923" s="77" t="s">
        <v>263</v>
      </c>
      <c r="E923" s="58" t="s">
        <v>260</v>
      </c>
      <c r="F923" s="59" t="s">
        <v>1370</v>
      </c>
      <c r="H923" s="183" t="s">
        <v>1532</v>
      </c>
      <c r="I923" s="79" t="s">
        <v>249</v>
      </c>
      <c r="J923" s="80" t="s">
        <v>250</v>
      </c>
      <c r="K923" s="80" t="s">
        <v>248</v>
      </c>
      <c r="L923" s="63" t="s">
        <v>1370</v>
      </c>
      <c r="M923">
        <v>1</v>
      </c>
    </row>
    <row r="924" spans="1:13" ht="16.5" thickBot="1" x14ac:dyDescent="0.3">
      <c r="A924" s="55" t="s">
        <v>1533</v>
      </c>
      <c r="B924" s="74" t="s">
        <v>259</v>
      </c>
      <c r="C924" s="74" t="s">
        <v>257</v>
      </c>
      <c r="D924" s="75" t="s">
        <v>258</v>
      </c>
      <c r="E924" s="58" t="s">
        <v>260</v>
      </c>
      <c r="F924" s="59" t="s">
        <v>273</v>
      </c>
      <c r="H924" s="183" t="s">
        <v>1533</v>
      </c>
      <c r="I924" s="61" t="s">
        <v>249</v>
      </c>
      <c r="J924" s="62" t="s">
        <v>250</v>
      </c>
      <c r="K924" s="62" t="s">
        <v>248</v>
      </c>
      <c r="L924" s="67" t="s">
        <v>273</v>
      </c>
      <c r="M924">
        <v>2</v>
      </c>
    </row>
    <row r="925" spans="1:13" ht="16.5" thickBot="1" x14ac:dyDescent="0.3">
      <c r="A925" s="55" t="s">
        <v>1534</v>
      </c>
      <c r="B925" s="64" t="s">
        <v>265</v>
      </c>
      <c r="C925" s="64" t="s">
        <v>263</v>
      </c>
      <c r="D925" s="65" t="s">
        <v>264</v>
      </c>
      <c r="E925" s="58" t="s">
        <v>260</v>
      </c>
      <c r="F925" s="59" t="s">
        <v>1371</v>
      </c>
      <c r="H925" s="183" t="s">
        <v>1534</v>
      </c>
      <c r="I925" s="61" t="s">
        <v>248</v>
      </c>
      <c r="J925" s="62" t="s">
        <v>249</v>
      </c>
      <c r="K925" s="62" t="s">
        <v>250</v>
      </c>
      <c r="L925" s="63" t="s">
        <v>1371</v>
      </c>
      <c r="M925">
        <v>1</v>
      </c>
    </row>
    <row r="926" spans="1:13" ht="16.5" thickBot="1" x14ac:dyDescent="0.3">
      <c r="A926" s="55" t="s">
        <v>1535</v>
      </c>
      <c r="B926" s="74" t="s">
        <v>257</v>
      </c>
      <c r="C926" s="74" t="s">
        <v>258</v>
      </c>
      <c r="D926" s="75" t="s">
        <v>259</v>
      </c>
      <c r="E926" s="58" t="s">
        <v>260</v>
      </c>
      <c r="F926" s="59" t="s">
        <v>261</v>
      </c>
      <c r="H926" s="183" t="s">
        <v>1535</v>
      </c>
      <c r="I926" s="61" t="s">
        <v>248</v>
      </c>
      <c r="J926" s="62" t="s">
        <v>249</v>
      </c>
      <c r="K926" s="62" t="s">
        <v>250</v>
      </c>
      <c r="L926" s="63" t="s">
        <v>261</v>
      </c>
      <c r="M926">
        <v>2</v>
      </c>
    </row>
    <row r="927" spans="1:13" ht="16.5" thickBot="1" x14ac:dyDescent="0.3">
      <c r="A927" s="55" t="s">
        <v>1536</v>
      </c>
      <c r="B927" s="64" t="s">
        <v>263</v>
      </c>
      <c r="C927" s="64" t="s">
        <v>264</v>
      </c>
      <c r="D927" s="65" t="s">
        <v>265</v>
      </c>
      <c r="E927" s="58" t="s">
        <v>260</v>
      </c>
      <c r="F927" s="59" t="s">
        <v>245</v>
      </c>
      <c r="H927" s="183" t="s">
        <v>1536</v>
      </c>
      <c r="I927" s="61" t="s">
        <v>250</v>
      </c>
      <c r="J927" s="62" t="s">
        <v>248</v>
      </c>
      <c r="K927" s="62" t="s">
        <v>249</v>
      </c>
      <c r="L927" s="81" t="s">
        <v>245</v>
      </c>
      <c r="M927">
        <v>1</v>
      </c>
    </row>
    <row r="928" spans="1:13" ht="16.5" thickBot="1" x14ac:dyDescent="0.3">
      <c r="A928" s="55" t="s">
        <v>1537</v>
      </c>
      <c r="B928" s="74" t="s">
        <v>258</v>
      </c>
      <c r="C928" s="74" t="s">
        <v>259</v>
      </c>
      <c r="D928" s="75" t="s">
        <v>257</v>
      </c>
      <c r="E928" s="58" t="s">
        <v>260</v>
      </c>
      <c r="F928" s="59" t="s">
        <v>267</v>
      </c>
      <c r="H928" s="183" t="s">
        <v>1537</v>
      </c>
      <c r="I928" s="79" t="s">
        <v>250</v>
      </c>
      <c r="J928" s="80" t="s">
        <v>248</v>
      </c>
      <c r="K928" s="80" t="s">
        <v>249</v>
      </c>
      <c r="L928" s="67" t="s">
        <v>267</v>
      </c>
      <c r="M928">
        <v>2</v>
      </c>
    </row>
    <row r="929" spans="1:13" ht="16.5" thickBot="1" x14ac:dyDescent="0.3">
      <c r="A929" s="55" t="s">
        <v>1538</v>
      </c>
      <c r="B929" s="76" t="s">
        <v>264</v>
      </c>
      <c r="C929" s="76" t="s">
        <v>265</v>
      </c>
      <c r="D929" s="77" t="s">
        <v>263</v>
      </c>
      <c r="E929" s="58" t="s">
        <v>260</v>
      </c>
      <c r="F929" s="59" t="s">
        <v>269</v>
      </c>
      <c r="H929" s="183" t="s">
        <v>1538</v>
      </c>
      <c r="I929" s="79" t="s">
        <v>249</v>
      </c>
      <c r="J929" s="80" t="s">
        <v>250</v>
      </c>
      <c r="K929" s="80" t="s">
        <v>248</v>
      </c>
      <c r="L929" s="63" t="s">
        <v>269</v>
      </c>
      <c r="M929">
        <v>1</v>
      </c>
    </row>
    <row r="930" spans="1:13" ht="16.5" thickBot="1" x14ac:dyDescent="0.3">
      <c r="A930" s="55" t="s">
        <v>1539</v>
      </c>
      <c r="B930" s="74" t="s">
        <v>259</v>
      </c>
      <c r="C930" s="74" t="s">
        <v>257</v>
      </c>
      <c r="D930" s="75" t="s">
        <v>258</v>
      </c>
      <c r="E930" s="58" t="s">
        <v>260</v>
      </c>
      <c r="F930" s="59" t="s">
        <v>1370</v>
      </c>
      <c r="H930" s="183" t="s">
        <v>1539</v>
      </c>
      <c r="I930" s="61" t="s">
        <v>249</v>
      </c>
      <c r="J930" s="62" t="s">
        <v>250</v>
      </c>
      <c r="K930" s="62" t="s">
        <v>248</v>
      </c>
      <c r="L930" s="63" t="s">
        <v>1370</v>
      </c>
      <c r="M930">
        <v>2</v>
      </c>
    </row>
    <row r="931" spans="1:13" ht="16.5" thickBot="1" x14ac:dyDescent="0.3">
      <c r="A931" s="55" t="s">
        <v>1540</v>
      </c>
      <c r="B931" s="64" t="s">
        <v>265</v>
      </c>
      <c r="C931" s="64" t="s">
        <v>263</v>
      </c>
      <c r="D931" s="65" t="s">
        <v>264</v>
      </c>
      <c r="E931" s="58" t="s">
        <v>260</v>
      </c>
      <c r="F931" s="59" t="s">
        <v>273</v>
      </c>
      <c r="H931" s="183" t="s">
        <v>1540</v>
      </c>
      <c r="I931" s="61" t="s">
        <v>248</v>
      </c>
      <c r="J931" s="62" t="s">
        <v>249</v>
      </c>
      <c r="K931" s="62" t="s">
        <v>250</v>
      </c>
      <c r="L931" s="67" t="s">
        <v>273</v>
      </c>
      <c r="M931">
        <v>1</v>
      </c>
    </row>
    <row r="932" spans="1:13" ht="16.5" thickBot="1" x14ac:dyDescent="0.3">
      <c r="A932" s="55" t="s">
        <v>1541</v>
      </c>
      <c r="B932" s="74" t="s">
        <v>257</v>
      </c>
      <c r="C932" s="74" t="s">
        <v>258</v>
      </c>
      <c r="D932" s="75" t="s">
        <v>259</v>
      </c>
      <c r="E932" s="58" t="s">
        <v>260</v>
      </c>
      <c r="F932" s="59" t="s">
        <v>1371</v>
      </c>
      <c r="H932" s="183" t="s">
        <v>1541</v>
      </c>
      <c r="I932" s="61" t="s">
        <v>248</v>
      </c>
      <c r="J932" s="62" t="s">
        <v>249</v>
      </c>
      <c r="K932" s="62" t="s">
        <v>250</v>
      </c>
      <c r="L932" s="63" t="s">
        <v>1371</v>
      </c>
      <c r="M932">
        <v>2</v>
      </c>
    </row>
    <row r="933" spans="1:13" ht="16.5" thickBot="1" x14ac:dyDescent="0.3">
      <c r="A933" s="55" t="s">
        <v>1542</v>
      </c>
      <c r="B933" s="64" t="s">
        <v>263</v>
      </c>
      <c r="C933" s="64" t="s">
        <v>264</v>
      </c>
      <c r="D933" s="65" t="s">
        <v>265</v>
      </c>
      <c r="E933" s="58" t="s">
        <v>260</v>
      </c>
      <c r="F933" s="59" t="s">
        <v>261</v>
      </c>
      <c r="H933" s="183" t="s">
        <v>1542</v>
      </c>
      <c r="I933" s="61" t="s">
        <v>250</v>
      </c>
      <c r="J933" s="62" t="s">
        <v>248</v>
      </c>
      <c r="K933" s="62" t="s">
        <v>249</v>
      </c>
      <c r="L933" s="63" t="s">
        <v>261</v>
      </c>
      <c r="M933">
        <v>1</v>
      </c>
    </row>
    <row r="934" spans="1:13" ht="16.5" thickBot="1" x14ac:dyDescent="0.3">
      <c r="A934" s="55" t="s">
        <v>1543</v>
      </c>
      <c r="B934" s="74" t="s">
        <v>258</v>
      </c>
      <c r="C934" s="74" t="s">
        <v>259</v>
      </c>
      <c r="D934" s="75" t="s">
        <v>257</v>
      </c>
      <c r="E934" s="58" t="s">
        <v>260</v>
      </c>
      <c r="F934" s="59" t="s">
        <v>245</v>
      </c>
      <c r="H934" s="183" t="s">
        <v>1543</v>
      </c>
      <c r="I934" s="79" t="s">
        <v>250</v>
      </c>
      <c r="J934" s="80" t="s">
        <v>248</v>
      </c>
      <c r="K934" s="80" t="s">
        <v>249</v>
      </c>
      <c r="L934" s="81" t="s">
        <v>245</v>
      </c>
      <c r="M934">
        <v>2</v>
      </c>
    </row>
    <row r="935" spans="1:13" ht="16.5" thickBot="1" x14ac:dyDescent="0.3">
      <c r="A935" s="55" t="s">
        <v>1544</v>
      </c>
      <c r="B935" s="76" t="s">
        <v>264</v>
      </c>
      <c r="C935" s="76" t="s">
        <v>265</v>
      </c>
      <c r="D935" s="77" t="s">
        <v>263</v>
      </c>
      <c r="E935" s="58" t="s">
        <v>260</v>
      </c>
      <c r="F935" s="59" t="s">
        <v>267</v>
      </c>
      <c r="H935" s="183" t="s">
        <v>1544</v>
      </c>
      <c r="I935" s="79" t="s">
        <v>249</v>
      </c>
      <c r="J935" s="80" t="s">
        <v>250</v>
      </c>
      <c r="K935" s="80" t="s">
        <v>248</v>
      </c>
      <c r="L935" s="67" t="s">
        <v>267</v>
      </c>
      <c r="M935">
        <v>1</v>
      </c>
    </row>
    <row r="936" spans="1:13" ht="16.5" thickBot="1" x14ac:dyDescent="0.3">
      <c r="A936" s="55" t="s">
        <v>1545</v>
      </c>
      <c r="B936" s="74" t="s">
        <v>259</v>
      </c>
      <c r="C936" s="74" t="s">
        <v>257</v>
      </c>
      <c r="D936" s="75" t="s">
        <v>258</v>
      </c>
      <c r="E936" s="58" t="s">
        <v>260</v>
      </c>
      <c r="F936" s="59" t="s">
        <v>269</v>
      </c>
      <c r="H936" s="183" t="s">
        <v>1545</v>
      </c>
      <c r="I936" s="61" t="s">
        <v>249</v>
      </c>
      <c r="J936" s="62" t="s">
        <v>250</v>
      </c>
      <c r="K936" s="62" t="s">
        <v>248</v>
      </c>
      <c r="L936" s="63" t="s">
        <v>269</v>
      </c>
      <c r="M936">
        <v>2</v>
      </c>
    </row>
    <row r="937" spans="1:13" ht="16.5" thickBot="1" x14ac:dyDescent="0.3">
      <c r="A937" s="55" t="s">
        <v>1546</v>
      </c>
      <c r="B937" s="64" t="s">
        <v>265</v>
      </c>
      <c r="C937" s="64" t="s">
        <v>263</v>
      </c>
      <c r="D937" s="65" t="s">
        <v>264</v>
      </c>
      <c r="E937" s="58" t="s">
        <v>260</v>
      </c>
      <c r="F937" s="59" t="s">
        <v>1370</v>
      </c>
      <c r="H937" s="183" t="s">
        <v>1546</v>
      </c>
      <c r="I937" s="61" t="s">
        <v>248</v>
      </c>
      <c r="J937" s="62" t="s">
        <v>249</v>
      </c>
      <c r="K937" s="62" t="s">
        <v>250</v>
      </c>
      <c r="L937" s="63" t="s">
        <v>1370</v>
      </c>
      <c r="M937">
        <v>1</v>
      </c>
    </row>
    <row r="938" spans="1:13" ht="16.5" thickBot="1" x14ac:dyDescent="0.3">
      <c r="A938" s="55" t="s">
        <v>1547</v>
      </c>
      <c r="B938" s="74" t="s">
        <v>257</v>
      </c>
      <c r="C938" s="74" t="s">
        <v>258</v>
      </c>
      <c r="D938" s="75" t="s">
        <v>259</v>
      </c>
      <c r="E938" s="58" t="s">
        <v>260</v>
      </c>
      <c r="F938" s="59" t="s">
        <v>273</v>
      </c>
      <c r="H938" s="183" t="s">
        <v>1547</v>
      </c>
      <c r="I938" s="61" t="s">
        <v>248</v>
      </c>
      <c r="J938" s="62" t="s">
        <v>249</v>
      </c>
      <c r="K938" s="62" t="s">
        <v>250</v>
      </c>
      <c r="L938" s="67" t="s">
        <v>273</v>
      </c>
      <c r="M938">
        <v>2</v>
      </c>
    </row>
    <row r="939" spans="1:13" ht="16.5" thickBot="1" x14ac:dyDescent="0.3">
      <c r="A939" s="55" t="s">
        <v>1548</v>
      </c>
      <c r="B939" s="64" t="s">
        <v>263</v>
      </c>
      <c r="C939" s="64" t="s">
        <v>264</v>
      </c>
      <c r="D939" s="65" t="s">
        <v>265</v>
      </c>
      <c r="E939" s="58" t="s">
        <v>260</v>
      </c>
      <c r="F939" s="59" t="s">
        <v>1371</v>
      </c>
      <c r="H939" s="183" t="s">
        <v>1548</v>
      </c>
      <c r="I939" s="61" t="s">
        <v>250</v>
      </c>
      <c r="J939" s="62" t="s">
        <v>248</v>
      </c>
      <c r="K939" s="62" t="s">
        <v>249</v>
      </c>
      <c r="L939" s="63" t="s">
        <v>1371</v>
      </c>
      <c r="M939">
        <v>1</v>
      </c>
    </row>
    <row r="940" spans="1:13" ht="16.5" thickBot="1" x14ac:dyDescent="0.3">
      <c r="A940" s="55" t="s">
        <v>1549</v>
      </c>
      <c r="B940" s="74" t="s">
        <v>258</v>
      </c>
      <c r="C940" s="74" t="s">
        <v>259</v>
      </c>
      <c r="D940" s="75" t="s">
        <v>257</v>
      </c>
      <c r="E940" s="58" t="s">
        <v>260</v>
      </c>
      <c r="F940" s="59" t="s">
        <v>261</v>
      </c>
      <c r="H940" s="183" t="s">
        <v>1549</v>
      </c>
      <c r="I940" s="79" t="s">
        <v>250</v>
      </c>
      <c r="J940" s="80" t="s">
        <v>248</v>
      </c>
      <c r="K940" s="80" t="s">
        <v>249</v>
      </c>
      <c r="L940" s="63" t="s">
        <v>261</v>
      </c>
      <c r="M940">
        <v>2</v>
      </c>
    </row>
    <row r="941" spans="1:13" ht="16.5" thickBot="1" x14ac:dyDescent="0.3">
      <c r="A941" s="55" t="s">
        <v>1550</v>
      </c>
      <c r="B941" s="76" t="s">
        <v>264</v>
      </c>
      <c r="C941" s="76" t="s">
        <v>265</v>
      </c>
      <c r="D941" s="77" t="s">
        <v>263</v>
      </c>
      <c r="E941" s="58" t="s">
        <v>260</v>
      </c>
      <c r="F941" s="59" t="s">
        <v>245</v>
      </c>
      <c r="H941" s="183" t="s">
        <v>1550</v>
      </c>
      <c r="I941" s="79" t="s">
        <v>249</v>
      </c>
      <c r="J941" s="80" t="s">
        <v>250</v>
      </c>
      <c r="K941" s="80" t="s">
        <v>248</v>
      </c>
      <c r="L941" s="81" t="s">
        <v>245</v>
      </c>
      <c r="M941">
        <v>1</v>
      </c>
    </row>
    <row r="942" spans="1:13" ht="16.5" thickBot="1" x14ac:dyDescent="0.3">
      <c r="A942" s="55" t="s">
        <v>1551</v>
      </c>
      <c r="B942" s="74" t="s">
        <v>259</v>
      </c>
      <c r="C942" s="74" t="s">
        <v>257</v>
      </c>
      <c r="D942" s="75" t="s">
        <v>258</v>
      </c>
      <c r="E942" s="58" t="s">
        <v>260</v>
      </c>
      <c r="F942" s="59" t="s">
        <v>267</v>
      </c>
      <c r="H942" s="183" t="s">
        <v>1551</v>
      </c>
      <c r="I942" s="61" t="s">
        <v>249</v>
      </c>
      <c r="J942" s="62" t="s">
        <v>250</v>
      </c>
      <c r="K942" s="62" t="s">
        <v>248</v>
      </c>
      <c r="L942" s="67" t="s">
        <v>267</v>
      </c>
      <c r="M942">
        <v>2</v>
      </c>
    </row>
    <row r="943" spans="1:13" ht="16.5" thickBot="1" x14ac:dyDescent="0.3">
      <c r="A943" s="55" t="s">
        <v>1552</v>
      </c>
      <c r="B943" s="64" t="s">
        <v>265</v>
      </c>
      <c r="C943" s="64" t="s">
        <v>263</v>
      </c>
      <c r="D943" s="65" t="s">
        <v>264</v>
      </c>
      <c r="E943" s="58" t="s">
        <v>260</v>
      </c>
      <c r="F943" s="59" t="s">
        <v>269</v>
      </c>
      <c r="H943" s="183" t="s">
        <v>1552</v>
      </c>
      <c r="I943" s="61" t="s">
        <v>248</v>
      </c>
      <c r="J943" s="62" t="s">
        <v>249</v>
      </c>
      <c r="K943" s="62" t="s">
        <v>250</v>
      </c>
      <c r="L943" s="63" t="s">
        <v>269</v>
      </c>
      <c r="M943">
        <v>1</v>
      </c>
    </row>
    <row r="944" spans="1:13" ht="16.5" thickBot="1" x14ac:dyDescent="0.3">
      <c r="A944" s="55" t="s">
        <v>1553</v>
      </c>
      <c r="B944" s="74" t="s">
        <v>257</v>
      </c>
      <c r="C944" s="74" t="s">
        <v>258</v>
      </c>
      <c r="D944" s="75" t="s">
        <v>259</v>
      </c>
      <c r="E944" s="58" t="s">
        <v>260</v>
      </c>
      <c r="F944" s="59" t="s">
        <v>1370</v>
      </c>
      <c r="H944" s="183" t="s">
        <v>1553</v>
      </c>
      <c r="I944" s="61" t="s">
        <v>248</v>
      </c>
      <c r="J944" s="62" t="s">
        <v>249</v>
      </c>
      <c r="K944" s="62" t="s">
        <v>250</v>
      </c>
      <c r="L944" s="63" t="s">
        <v>1370</v>
      </c>
      <c r="M944">
        <v>2</v>
      </c>
    </row>
    <row r="945" spans="1:13" ht="16.5" thickBot="1" x14ac:dyDescent="0.3">
      <c r="A945" s="55" t="s">
        <v>1554</v>
      </c>
      <c r="B945" s="64" t="s">
        <v>263</v>
      </c>
      <c r="C945" s="64" t="s">
        <v>264</v>
      </c>
      <c r="D945" s="65" t="s">
        <v>265</v>
      </c>
      <c r="E945" s="58" t="s">
        <v>260</v>
      </c>
      <c r="F945" s="59" t="s">
        <v>273</v>
      </c>
      <c r="H945" s="183" t="s">
        <v>1554</v>
      </c>
      <c r="I945" s="61" t="s">
        <v>250</v>
      </c>
      <c r="J945" s="62" t="s">
        <v>248</v>
      </c>
      <c r="K945" s="62" t="s">
        <v>249</v>
      </c>
      <c r="L945" s="67" t="s">
        <v>273</v>
      </c>
      <c r="M945">
        <v>1</v>
      </c>
    </row>
    <row r="946" spans="1:13" ht="16.5" thickBot="1" x14ac:dyDescent="0.3">
      <c r="A946" s="55" t="s">
        <v>1555</v>
      </c>
      <c r="B946" s="74" t="s">
        <v>258</v>
      </c>
      <c r="C946" s="74" t="s">
        <v>259</v>
      </c>
      <c r="D946" s="75" t="s">
        <v>257</v>
      </c>
      <c r="E946" s="58" t="s">
        <v>260</v>
      </c>
      <c r="F946" s="59" t="s">
        <v>1371</v>
      </c>
      <c r="H946" s="183" t="s">
        <v>1555</v>
      </c>
      <c r="I946" s="79" t="s">
        <v>250</v>
      </c>
      <c r="J946" s="80" t="s">
        <v>248</v>
      </c>
      <c r="K946" s="80" t="s">
        <v>249</v>
      </c>
      <c r="L946" s="63" t="s">
        <v>1371</v>
      </c>
      <c r="M946">
        <v>2</v>
      </c>
    </row>
    <row r="947" spans="1:13" ht="16.5" thickBot="1" x14ac:dyDescent="0.3">
      <c r="A947" s="55" t="s">
        <v>1556</v>
      </c>
      <c r="B947" s="76" t="s">
        <v>264</v>
      </c>
      <c r="C947" s="76" t="s">
        <v>265</v>
      </c>
      <c r="D947" s="77" t="s">
        <v>263</v>
      </c>
      <c r="E947" s="58" t="s">
        <v>260</v>
      </c>
      <c r="F947" s="59" t="s">
        <v>261</v>
      </c>
      <c r="H947" s="183" t="s">
        <v>1556</v>
      </c>
      <c r="I947" s="79" t="s">
        <v>249</v>
      </c>
      <c r="J947" s="80" t="s">
        <v>250</v>
      </c>
      <c r="K947" s="80" t="s">
        <v>248</v>
      </c>
      <c r="L947" s="63" t="s">
        <v>261</v>
      </c>
      <c r="M947">
        <v>1</v>
      </c>
    </row>
    <row r="948" spans="1:13" ht="16.5" thickBot="1" x14ac:dyDescent="0.3">
      <c r="A948" s="55" t="s">
        <v>1557</v>
      </c>
      <c r="B948" s="74" t="s">
        <v>259</v>
      </c>
      <c r="C948" s="74" t="s">
        <v>257</v>
      </c>
      <c r="D948" s="75" t="s">
        <v>258</v>
      </c>
      <c r="E948" s="58" t="s">
        <v>260</v>
      </c>
      <c r="F948" s="59" t="s">
        <v>245</v>
      </c>
      <c r="H948" s="183" t="s">
        <v>1557</v>
      </c>
      <c r="I948" s="61" t="s">
        <v>249</v>
      </c>
      <c r="J948" s="62" t="s">
        <v>250</v>
      </c>
      <c r="K948" s="62" t="s">
        <v>248</v>
      </c>
      <c r="L948" s="81" t="s">
        <v>245</v>
      </c>
      <c r="M948">
        <v>2</v>
      </c>
    </row>
    <row r="949" spans="1:13" ht="16.5" thickBot="1" x14ac:dyDescent="0.3">
      <c r="A949" s="55" t="s">
        <v>1558</v>
      </c>
      <c r="B949" s="64" t="s">
        <v>265</v>
      </c>
      <c r="C949" s="64" t="s">
        <v>263</v>
      </c>
      <c r="D949" s="65" t="s">
        <v>264</v>
      </c>
      <c r="E949" s="58" t="s">
        <v>260</v>
      </c>
      <c r="F949" s="59" t="s">
        <v>267</v>
      </c>
      <c r="H949" s="183" t="s">
        <v>1558</v>
      </c>
      <c r="I949" s="61" t="s">
        <v>248</v>
      </c>
      <c r="J949" s="62" t="s">
        <v>249</v>
      </c>
      <c r="K949" s="62" t="s">
        <v>250</v>
      </c>
      <c r="L949" s="67" t="s">
        <v>267</v>
      </c>
      <c r="M949">
        <v>1</v>
      </c>
    </row>
    <row r="950" spans="1:13" ht="16.5" thickBot="1" x14ac:dyDescent="0.3">
      <c r="A950" s="55" t="s">
        <v>1559</v>
      </c>
      <c r="B950" s="74" t="s">
        <v>257</v>
      </c>
      <c r="C950" s="74" t="s">
        <v>258</v>
      </c>
      <c r="D950" s="75" t="s">
        <v>259</v>
      </c>
      <c r="E950" s="58" t="s">
        <v>260</v>
      </c>
      <c r="F950" s="59" t="s">
        <v>269</v>
      </c>
      <c r="H950" s="183" t="s">
        <v>1559</v>
      </c>
      <c r="I950" s="61" t="s">
        <v>248</v>
      </c>
      <c r="J950" s="62" t="s">
        <v>249</v>
      </c>
      <c r="K950" s="62" t="s">
        <v>250</v>
      </c>
      <c r="L950" s="63" t="s">
        <v>269</v>
      </c>
      <c r="M950">
        <v>2</v>
      </c>
    </row>
    <row r="951" spans="1:13" ht="16.5" thickBot="1" x14ac:dyDescent="0.3">
      <c r="A951" s="55" t="s">
        <v>1560</v>
      </c>
      <c r="B951" s="64" t="s">
        <v>263</v>
      </c>
      <c r="C951" s="64" t="s">
        <v>264</v>
      </c>
      <c r="D951" s="65" t="s">
        <v>265</v>
      </c>
      <c r="E951" s="58" t="s">
        <v>260</v>
      </c>
      <c r="F951" s="59" t="s">
        <v>1370</v>
      </c>
      <c r="H951" s="183" t="s">
        <v>1560</v>
      </c>
      <c r="I951" s="61" t="s">
        <v>250</v>
      </c>
      <c r="J951" s="62" t="s">
        <v>248</v>
      </c>
      <c r="K951" s="62" t="s">
        <v>249</v>
      </c>
      <c r="L951" s="63" t="s">
        <v>1370</v>
      </c>
      <c r="M951">
        <v>1</v>
      </c>
    </row>
    <row r="952" spans="1:13" ht="16.5" thickBot="1" x14ac:dyDescent="0.3">
      <c r="A952" s="55" t="s">
        <v>1561</v>
      </c>
      <c r="B952" s="74" t="s">
        <v>258</v>
      </c>
      <c r="C952" s="74" t="s">
        <v>259</v>
      </c>
      <c r="D952" s="75" t="s">
        <v>257</v>
      </c>
      <c r="E952" s="58" t="s">
        <v>260</v>
      </c>
      <c r="F952" s="59" t="s">
        <v>273</v>
      </c>
      <c r="H952" s="183" t="s">
        <v>1561</v>
      </c>
      <c r="I952" s="79" t="s">
        <v>250</v>
      </c>
      <c r="J952" s="80" t="s">
        <v>248</v>
      </c>
      <c r="K952" s="80" t="s">
        <v>249</v>
      </c>
      <c r="L952" s="67" t="s">
        <v>273</v>
      </c>
      <c r="M952">
        <v>2</v>
      </c>
    </row>
    <row r="953" spans="1:13" ht="16.5" thickBot="1" x14ac:dyDescent="0.3">
      <c r="A953" s="55" t="s">
        <v>1562</v>
      </c>
      <c r="B953" s="76" t="s">
        <v>264</v>
      </c>
      <c r="C953" s="76" t="s">
        <v>265</v>
      </c>
      <c r="D953" s="77" t="s">
        <v>263</v>
      </c>
      <c r="E953" s="58" t="s">
        <v>260</v>
      </c>
      <c r="F953" s="59" t="s">
        <v>1371</v>
      </c>
      <c r="H953" s="183" t="s">
        <v>1562</v>
      </c>
      <c r="I953" s="79" t="s">
        <v>249</v>
      </c>
      <c r="J953" s="80" t="s">
        <v>250</v>
      </c>
      <c r="K953" s="80" t="s">
        <v>248</v>
      </c>
      <c r="L953" s="63" t="s">
        <v>1371</v>
      </c>
      <c r="M953">
        <v>1</v>
      </c>
    </row>
    <row r="954" spans="1:13" ht="16.5" thickBot="1" x14ac:dyDescent="0.3">
      <c r="A954" s="55" t="s">
        <v>1563</v>
      </c>
      <c r="B954" s="74" t="s">
        <v>259</v>
      </c>
      <c r="C954" s="74" t="s">
        <v>257</v>
      </c>
      <c r="D954" s="75" t="s">
        <v>258</v>
      </c>
      <c r="E954" s="58" t="s">
        <v>260</v>
      </c>
      <c r="F954" s="59" t="s">
        <v>261</v>
      </c>
      <c r="H954" s="183" t="s">
        <v>1563</v>
      </c>
      <c r="I954" s="61" t="s">
        <v>249</v>
      </c>
      <c r="J954" s="62" t="s">
        <v>250</v>
      </c>
      <c r="K954" s="62" t="s">
        <v>248</v>
      </c>
      <c r="L954" s="63" t="s">
        <v>261</v>
      </c>
      <c r="M954">
        <v>2</v>
      </c>
    </row>
    <row r="955" spans="1:13" ht="16.5" thickBot="1" x14ac:dyDescent="0.3">
      <c r="A955" s="55" t="s">
        <v>1564</v>
      </c>
      <c r="B955" s="64" t="s">
        <v>265</v>
      </c>
      <c r="C955" s="64" t="s">
        <v>263</v>
      </c>
      <c r="D955" s="65" t="s">
        <v>264</v>
      </c>
      <c r="E955" s="58" t="s">
        <v>260</v>
      </c>
      <c r="F955" s="59" t="s">
        <v>245</v>
      </c>
      <c r="H955" s="183" t="s">
        <v>1564</v>
      </c>
      <c r="I955" s="61" t="s">
        <v>248</v>
      </c>
      <c r="J955" s="62" t="s">
        <v>249</v>
      </c>
      <c r="K955" s="62" t="s">
        <v>250</v>
      </c>
      <c r="L955" s="81" t="s">
        <v>245</v>
      </c>
      <c r="M955">
        <v>1</v>
      </c>
    </row>
    <row r="956" spans="1:13" ht="16.5" thickBot="1" x14ac:dyDescent="0.3">
      <c r="A956" s="55" t="s">
        <v>1565</v>
      </c>
      <c r="B956" s="74" t="s">
        <v>257</v>
      </c>
      <c r="C956" s="74" t="s">
        <v>258</v>
      </c>
      <c r="D956" s="75" t="s">
        <v>259</v>
      </c>
      <c r="E956" s="58" t="s">
        <v>260</v>
      </c>
      <c r="F956" s="59" t="s">
        <v>267</v>
      </c>
      <c r="H956" s="183" t="s">
        <v>1565</v>
      </c>
      <c r="I956" s="61" t="s">
        <v>248</v>
      </c>
      <c r="J956" s="62" t="s">
        <v>249</v>
      </c>
      <c r="K956" s="62" t="s">
        <v>250</v>
      </c>
      <c r="L956" s="67" t="s">
        <v>267</v>
      </c>
      <c r="M956">
        <v>2</v>
      </c>
    </row>
    <row r="957" spans="1:13" ht="16.5" thickBot="1" x14ac:dyDescent="0.3">
      <c r="A957" s="55" t="s">
        <v>1566</v>
      </c>
      <c r="B957" s="64" t="s">
        <v>263</v>
      </c>
      <c r="C957" s="64" t="s">
        <v>264</v>
      </c>
      <c r="D957" s="65" t="s">
        <v>265</v>
      </c>
      <c r="E957" s="58" t="s">
        <v>260</v>
      </c>
      <c r="F957" s="59" t="s">
        <v>269</v>
      </c>
      <c r="H957" s="183" t="s">
        <v>1566</v>
      </c>
      <c r="I957" s="61" t="s">
        <v>250</v>
      </c>
      <c r="J957" s="62" t="s">
        <v>248</v>
      </c>
      <c r="K957" s="62" t="s">
        <v>249</v>
      </c>
      <c r="L957" s="63" t="s">
        <v>269</v>
      </c>
      <c r="M957">
        <v>1</v>
      </c>
    </row>
    <row r="958" spans="1:13" ht="16.5" thickBot="1" x14ac:dyDescent="0.3">
      <c r="A958" s="55" t="s">
        <v>1567</v>
      </c>
      <c r="B958" s="74" t="s">
        <v>258</v>
      </c>
      <c r="C958" s="74" t="s">
        <v>259</v>
      </c>
      <c r="D958" s="75" t="s">
        <v>257</v>
      </c>
      <c r="E958" s="58" t="s">
        <v>260</v>
      </c>
      <c r="F958" s="59" t="s">
        <v>1370</v>
      </c>
      <c r="H958" s="184" t="s">
        <v>1567</v>
      </c>
      <c r="I958" s="79" t="s">
        <v>250</v>
      </c>
      <c r="J958" s="80" t="s">
        <v>248</v>
      </c>
      <c r="K958" s="80" t="s">
        <v>249</v>
      </c>
      <c r="L958" s="63" t="s">
        <v>1370</v>
      </c>
      <c r="M958">
        <v>2</v>
      </c>
    </row>
  </sheetData>
  <phoneticPr fontId="33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X131"/>
  <sheetViews>
    <sheetView rightToLeft="1" topLeftCell="A55" workbookViewId="0">
      <selection activeCell="B36" sqref="B36 E36 K36 N36 K15:K17 N15:N17"/>
    </sheetView>
  </sheetViews>
  <sheetFormatPr defaultRowHeight="19.5" x14ac:dyDescent="0.25"/>
  <cols>
    <col min="1" max="1" width="5.42578125" bestFit="1" customWidth="1"/>
    <col min="2" max="2" width="10" bestFit="1" customWidth="1"/>
    <col min="3" max="3" width="18" bestFit="1" customWidth="1"/>
    <col min="4" max="4" width="14.5703125" bestFit="1" customWidth="1"/>
    <col min="5" max="5" width="6.28515625" bestFit="1" customWidth="1"/>
    <col min="6" max="6" width="10" bestFit="1" customWidth="1"/>
    <col min="7" max="7" width="9.5703125" bestFit="1" customWidth="1"/>
    <col min="9" max="9" width="9.140625" style="1"/>
    <col min="10" max="10" width="23.5703125" style="83" customWidth="1"/>
    <col min="11" max="11" width="12.7109375" style="83" customWidth="1"/>
    <col min="14" max="14" width="21.28515625" customWidth="1"/>
    <col min="15" max="15" width="8.140625" customWidth="1"/>
  </cols>
  <sheetData>
    <row r="1" spans="1:50" x14ac:dyDescent="0.25">
      <c r="AX1" t="s">
        <v>1374</v>
      </c>
    </row>
    <row r="2" spans="1:50" ht="15.75" x14ac:dyDescent="0.25">
      <c r="A2" s="197" t="s">
        <v>495</v>
      </c>
      <c r="B2" s="197" t="s">
        <v>246</v>
      </c>
      <c r="C2" s="197" t="s">
        <v>496</v>
      </c>
      <c r="D2" s="197" t="s">
        <v>497</v>
      </c>
      <c r="E2" s="197" t="s">
        <v>498</v>
      </c>
      <c r="F2" s="197" t="s">
        <v>499</v>
      </c>
      <c r="G2" s="197" t="s">
        <v>500</v>
      </c>
      <c r="J2" s="89" t="s">
        <v>246</v>
      </c>
      <c r="K2" s="89" t="s">
        <v>501</v>
      </c>
      <c r="N2" s="89" t="s">
        <v>246</v>
      </c>
      <c r="O2" s="89" t="s">
        <v>501</v>
      </c>
    </row>
    <row r="3" spans="1:50" s="85" customFormat="1" ht="12" customHeight="1" x14ac:dyDescent="0.2">
      <c r="A3" s="201" t="s">
        <v>502</v>
      </c>
      <c r="B3" s="207" t="s">
        <v>60</v>
      </c>
      <c r="C3" s="207" t="s">
        <v>506</v>
      </c>
      <c r="D3" s="208" t="s">
        <v>507</v>
      </c>
      <c r="E3" s="209" t="s">
        <v>9</v>
      </c>
      <c r="F3" s="209" t="s">
        <v>1018</v>
      </c>
      <c r="G3" s="209" t="s">
        <v>248</v>
      </c>
      <c r="H3" s="85">
        <f>COUNTIFS(pardazesh!$W$5:$X$41,D3)</f>
        <v>0</v>
      </c>
      <c r="I3" s="86" t="s">
        <v>3</v>
      </c>
      <c r="J3" s="92" t="str">
        <f t="shared" ref="J3:J34" si="0">IF(AND(H3=0,I3&lt;&gt;"T"),C3,"")&amp;" "&amp;IF(AND(H3=0,I3&lt;&gt;"T"),B3,"")</f>
        <v xml:space="preserve"> </v>
      </c>
      <c r="K3" s="93" t="str">
        <f>IF(AND(H3=0,I3&lt;&gt;"T"),G3,"")</f>
        <v/>
      </c>
      <c r="M3" s="86"/>
      <c r="N3" s="92" t="str">
        <f t="shared" ref="N3:N34" si="1">IF(H3&lt;&gt;0,C3,"")&amp;" "&amp;IF(H3&lt;&gt;0,B3,"")</f>
        <v xml:space="preserve"> </v>
      </c>
      <c r="O3" s="93" t="str">
        <f t="shared" ref="O3:O34" si="2">IF(H3&lt;&gt;0,G3,"")</f>
        <v/>
      </c>
    </row>
    <row r="4" spans="1:50" s="85" customFormat="1" ht="12" customHeight="1" x14ac:dyDescent="0.2">
      <c r="A4" s="198" t="s">
        <v>505</v>
      </c>
      <c r="B4" s="207" t="s">
        <v>62</v>
      </c>
      <c r="C4" s="207" t="s">
        <v>216</v>
      </c>
      <c r="D4" s="208">
        <v>71299</v>
      </c>
      <c r="E4" s="209" t="s">
        <v>9</v>
      </c>
      <c r="F4" s="209" t="s">
        <v>1018</v>
      </c>
      <c r="G4" s="209" t="s">
        <v>248</v>
      </c>
      <c r="H4" s="85">
        <f>COUNTIFS(pardazesh!$W$5:$X$41,D4)</f>
        <v>0</v>
      </c>
      <c r="I4" s="91" t="s">
        <v>3</v>
      </c>
      <c r="J4" s="92" t="str">
        <f t="shared" si="0"/>
        <v xml:space="preserve"> </v>
      </c>
      <c r="K4" s="93" t="str">
        <f t="shared" ref="K4:K67" si="3">IF(AND(H4=0,I4&lt;&gt;"T"),G4,"")</f>
        <v/>
      </c>
      <c r="N4" s="92" t="str">
        <f t="shared" si="1"/>
        <v xml:space="preserve"> </v>
      </c>
      <c r="O4" s="93" t="str">
        <f t="shared" si="2"/>
        <v/>
      </c>
    </row>
    <row r="5" spans="1:50" s="85" customFormat="1" ht="12" customHeight="1" x14ac:dyDescent="0.2">
      <c r="A5" s="201" t="s">
        <v>508</v>
      </c>
      <c r="B5" s="207" t="s">
        <v>71</v>
      </c>
      <c r="C5" s="207" t="s">
        <v>571</v>
      </c>
      <c r="D5" s="208" t="s">
        <v>572</v>
      </c>
      <c r="E5" s="209" t="s">
        <v>9</v>
      </c>
      <c r="F5" s="209" t="s">
        <v>1018</v>
      </c>
      <c r="G5" s="209" t="s">
        <v>248</v>
      </c>
      <c r="H5" s="85">
        <f>COUNTIFS(pardazesh!$W$5:$X$41,D5)</f>
        <v>0</v>
      </c>
      <c r="I5" s="91" t="s">
        <v>3</v>
      </c>
      <c r="J5" s="92" t="str">
        <f t="shared" si="0"/>
        <v xml:space="preserve"> </v>
      </c>
      <c r="K5" s="93" t="str">
        <f t="shared" si="3"/>
        <v/>
      </c>
      <c r="N5" s="92" t="str">
        <f t="shared" si="1"/>
        <v xml:space="preserve"> </v>
      </c>
      <c r="O5" s="93" t="str">
        <f t="shared" si="2"/>
        <v/>
      </c>
    </row>
    <row r="6" spans="1:50" s="85" customFormat="1" ht="12" customHeight="1" x14ac:dyDescent="0.2">
      <c r="A6" s="201" t="s">
        <v>512</v>
      </c>
      <c r="B6" s="199" t="s">
        <v>81</v>
      </c>
      <c r="C6" s="199" t="s">
        <v>554</v>
      </c>
      <c r="D6" s="209" t="s">
        <v>555</v>
      </c>
      <c r="E6" s="209" t="s">
        <v>9</v>
      </c>
      <c r="F6" s="209" t="s">
        <v>1018</v>
      </c>
      <c r="G6" s="209" t="s">
        <v>248</v>
      </c>
      <c r="H6" s="85">
        <f>COUNTIFS(pardazesh!$W$5:$X$41,D6)</f>
        <v>0</v>
      </c>
      <c r="I6" s="91" t="s">
        <v>3</v>
      </c>
      <c r="J6" s="92" t="str">
        <f t="shared" si="0"/>
        <v xml:space="preserve"> </v>
      </c>
      <c r="K6" s="93" t="str">
        <f t="shared" si="3"/>
        <v/>
      </c>
      <c r="N6" s="92" t="str">
        <f t="shared" si="1"/>
        <v xml:space="preserve"> </v>
      </c>
      <c r="O6" s="93" t="str">
        <f t="shared" si="2"/>
        <v/>
      </c>
    </row>
    <row r="7" spans="1:50" s="85" customFormat="1" ht="12" customHeight="1" x14ac:dyDescent="0.2">
      <c r="A7" s="198" t="s">
        <v>515</v>
      </c>
      <c r="B7" s="207" t="s">
        <v>217</v>
      </c>
      <c r="C7" s="207" t="s">
        <v>218</v>
      </c>
      <c r="D7" s="208">
        <v>76723</v>
      </c>
      <c r="E7" s="209" t="s">
        <v>9</v>
      </c>
      <c r="F7" s="209" t="s">
        <v>1018</v>
      </c>
      <c r="G7" s="209" t="s">
        <v>248</v>
      </c>
      <c r="H7" s="85">
        <f>COUNTIFS(pardazesh!$W$5:$X$41,D7)</f>
        <v>0</v>
      </c>
      <c r="I7" s="91" t="s">
        <v>3</v>
      </c>
      <c r="J7" s="92" t="str">
        <f t="shared" si="0"/>
        <v xml:space="preserve"> </v>
      </c>
      <c r="K7" s="93" t="str">
        <f t="shared" si="3"/>
        <v/>
      </c>
      <c r="N7" s="92" t="str">
        <f t="shared" si="1"/>
        <v xml:space="preserve"> </v>
      </c>
      <c r="O7" s="93" t="str">
        <f t="shared" si="2"/>
        <v/>
      </c>
    </row>
    <row r="8" spans="1:50" s="85" customFormat="1" ht="12" customHeight="1" x14ac:dyDescent="0.2">
      <c r="A8" s="201" t="s">
        <v>518</v>
      </c>
      <c r="B8" s="207" t="s">
        <v>75</v>
      </c>
      <c r="C8" s="207" t="s">
        <v>76</v>
      </c>
      <c r="D8" s="210" t="s">
        <v>597</v>
      </c>
      <c r="E8" s="209" t="s">
        <v>9</v>
      </c>
      <c r="F8" s="209" t="s">
        <v>1018</v>
      </c>
      <c r="G8" s="209" t="s">
        <v>248</v>
      </c>
      <c r="H8" s="85">
        <f>COUNTIFS(pardazesh!$W$5:$X$41,D8)</f>
        <v>0</v>
      </c>
      <c r="I8" s="91" t="s">
        <v>3</v>
      </c>
      <c r="J8" s="92" t="str">
        <f t="shared" si="0"/>
        <v xml:space="preserve"> </v>
      </c>
      <c r="K8" s="93" t="str">
        <f t="shared" si="3"/>
        <v/>
      </c>
      <c r="N8" s="92" t="str">
        <f t="shared" si="1"/>
        <v xml:space="preserve"> </v>
      </c>
      <c r="O8" s="93" t="str">
        <f t="shared" si="2"/>
        <v/>
      </c>
    </row>
    <row r="9" spans="1:50" s="85" customFormat="1" ht="12" customHeight="1" x14ac:dyDescent="0.2">
      <c r="A9" s="198" t="s">
        <v>520</v>
      </c>
      <c r="B9" s="207" t="s">
        <v>73</v>
      </c>
      <c r="C9" s="207" t="s">
        <v>77</v>
      </c>
      <c r="D9" s="210" t="s">
        <v>608</v>
      </c>
      <c r="E9" s="209" t="s">
        <v>9</v>
      </c>
      <c r="F9" s="209" t="s">
        <v>1018</v>
      </c>
      <c r="G9" s="209" t="s">
        <v>248</v>
      </c>
      <c r="H9" s="85">
        <f>COUNTIFS(pardazesh!$W$5:$X$41,D9)</f>
        <v>0</v>
      </c>
      <c r="I9" s="91" t="s">
        <v>3</v>
      </c>
      <c r="J9" s="92" t="str">
        <f t="shared" si="0"/>
        <v xml:space="preserve"> </v>
      </c>
      <c r="K9" s="93" t="str">
        <f t="shared" si="3"/>
        <v/>
      </c>
      <c r="N9" s="92" t="str">
        <f t="shared" si="1"/>
        <v xml:space="preserve"> </v>
      </c>
      <c r="O9" s="93" t="str">
        <f t="shared" si="2"/>
        <v/>
      </c>
    </row>
    <row r="10" spans="1:50" s="85" customFormat="1" ht="12" customHeight="1" x14ac:dyDescent="0.2">
      <c r="A10" s="201" t="s">
        <v>523</v>
      </c>
      <c r="B10" s="202" t="s">
        <v>128</v>
      </c>
      <c r="C10" s="202" t="s">
        <v>967</v>
      </c>
      <c r="D10" s="206" t="s">
        <v>968</v>
      </c>
      <c r="E10" s="198" t="s">
        <v>9</v>
      </c>
      <c r="F10" s="201" t="s">
        <v>504</v>
      </c>
      <c r="G10" s="198" t="s">
        <v>248</v>
      </c>
      <c r="H10" s="85">
        <f>COUNTIFS(pardazesh!$W$5:$X$41,D10)</f>
        <v>0</v>
      </c>
      <c r="I10" s="87" t="s">
        <v>3</v>
      </c>
      <c r="J10" s="92" t="str">
        <f t="shared" si="0"/>
        <v xml:space="preserve"> </v>
      </c>
      <c r="K10" s="93" t="str">
        <f t="shared" si="3"/>
        <v/>
      </c>
      <c r="M10" s="87"/>
      <c r="N10" s="92" t="str">
        <f t="shared" si="1"/>
        <v xml:space="preserve"> </v>
      </c>
      <c r="O10" s="93" t="str">
        <f t="shared" si="2"/>
        <v/>
      </c>
    </row>
    <row r="11" spans="1:50" s="85" customFormat="1" ht="12" customHeight="1" x14ac:dyDescent="0.2">
      <c r="A11" s="201" t="s">
        <v>525</v>
      </c>
      <c r="B11" s="211" t="s">
        <v>101</v>
      </c>
      <c r="C11" s="211" t="s">
        <v>117</v>
      </c>
      <c r="D11" s="211" t="s">
        <v>503</v>
      </c>
      <c r="E11" s="201" t="s">
        <v>9</v>
      </c>
      <c r="F11" s="201" t="s">
        <v>504</v>
      </c>
      <c r="G11" s="201" t="s">
        <v>248</v>
      </c>
      <c r="H11" s="85">
        <f>COUNTIFS(pardazesh!$W$5:$X$41,D11)</f>
        <v>0</v>
      </c>
      <c r="I11" s="91"/>
      <c r="J11" s="92" t="str">
        <f t="shared" si="0"/>
        <v>بهزادي رضا</v>
      </c>
      <c r="K11" s="93" t="str">
        <f t="shared" si="3"/>
        <v>A</v>
      </c>
      <c r="N11" s="92" t="str">
        <f t="shared" si="1"/>
        <v xml:space="preserve"> </v>
      </c>
      <c r="O11" s="93" t="str">
        <f t="shared" si="2"/>
        <v/>
      </c>
    </row>
    <row r="12" spans="1:50" s="85" customFormat="1" ht="12" customHeight="1" x14ac:dyDescent="0.2">
      <c r="A12" s="198" t="s">
        <v>527</v>
      </c>
      <c r="B12" s="202" t="s">
        <v>62</v>
      </c>
      <c r="C12" s="202" t="s">
        <v>946</v>
      </c>
      <c r="D12" s="205" t="s">
        <v>947</v>
      </c>
      <c r="E12" s="198" t="s">
        <v>9</v>
      </c>
      <c r="F12" s="198" t="s">
        <v>504</v>
      </c>
      <c r="G12" s="198" t="s">
        <v>248</v>
      </c>
      <c r="H12" s="85">
        <f>COUNTIFS(pardazesh!$W$5:$X$41,D12)</f>
        <v>0</v>
      </c>
      <c r="I12" s="91"/>
      <c r="J12" s="92" t="str">
        <f t="shared" si="0"/>
        <v>خسرو پور مهدي</v>
      </c>
      <c r="K12" s="93" t="str">
        <f t="shared" si="3"/>
        <v>A</v>
      </c>
      <c r="N12" s="92" t="str">
        <f t="shared" si="1"/>
        <v xml:space="preserve"> </v>
      </c>
      <c r="O12" s="93" t="str">
        <f t="shared" si="2"/>
        <v/>
      </c>
    </row>
    <row r="13" spans="1:50" s="85" customFormat="1" ht="12" customHeight="1" x14ac:dyDescent="0.2">
      <c r="A13" s="201" t="s">
        <v>530</v>
      </c>
      <c r="B13" s="202" t="s">
        <v>201</v>
      </c>
      <c r="C13" s="202" t="s">
        <v>952</v>
      </c>
      <c r="D13" s="205">
        <v>71541</v>
      </c>
      <c r="E13" s="201" t="s">
        <v>9</v>
      </c>
      <c r="F13" s="201" t="s">
        <v>504</v>
      </c>
      <c r="G13" s="201" t="s">
        <v>248</v>
      </c>
      <c r="H13" s="85">
        <f>COUNTIFS(pardazesh!$W$5:$X$41,D13)</f>
        <v>0</v>
      </c>
      <c r="I13" s="91" t="s">
        <v>3</v>
      </c>
      <c r="J13" s="92" t="str">
        <f t="shared" si="0"/>
        <v xml:space="preserve"> </v>
      </c>
      <c r="K13" s="93" t="str">
        <f t="shared" si="3"/>
        <v/>
      </c>
      <c r="N13" s="92" t="str">
        <f t="shared" si="1"/>
        <v xml:space="preserve"> </v>
      </c>
      <c r="O13" s="93" t="str">
        <f t="shared" si="2"/>
        <v/>
      </c>
    </row>
    <row r="14" spans="1:50" s="85" customFormat="1" ht="12" customHeight="1" x14ac:dyDescent="0.2">
      <c r="A14" s="198" t="s">
        <v>532</v>
      </c>
      <c r="B14" s="202" t="s">
        <v>62</v>
      </c>
      <c r="C14" s="202" t="s">
        <v>953</v>
      </c>
      <c r="D14" s="205" t="s">
        <v>954</v>
      </c>
      <c r="E14" s="198" t="s">
        <v>9</v>
      </c>
      <c r="F14" s="198" t="s">
        <v>504</v>
      </c>
      <c r="G14" s="198" t="s">
        <v>248</v>
      </c>
      <c r="H14" s="85">
        <f>COUNTIFS(pardazesh!$W$5:$X$41,D14)</f>
        <v>0</v>
      </c>
      <c r="I14" s="91" t="s">
        <v>3</v>
      </c>
      <c r="J14" s="92" t="str">
        <f t="shared" si="0"/>
        <v xml:space="preserve"> </v>
      </c>
      <c r="K14" s="93" t="str">
        <f t="shared" si="3"/>
        <v/>
      </c>
      <c r="N14" s="92" t="str">
        <f t="shared" si="1"/>
        <v xml:space="preserve"> </v>
      </c>
      <c r="O14" s="93" t="str">
        <f t="shared" si="2"/>
        <v/>
      </c>
    </row>
    <row r="15" spans="1:50" s="85" customFormat="1" ht="12" customHeight="1" x14ac:dyDescent="0.2">
      <c r="A15" s="201" t="s">
        <v>535</v>
      </c>
      <c r="B15" s="202" t="s">
        <v>509</v>
      </c>
      <c r="C15" s="202" t="s">
        <v>510</v>
      </c>
      <c r="D15" s="205" t="s">
        <v>511</v>
      </c>
      <c r="E15" s="201" t="s">
        <v>9</v>
      </c>
      <c r="F15" s="201" t="s">
        <v>504</v>
      </c>
      <c r="G15" s="201" t="s">
        <v>248</v>
      </c>
      <c r="H15" s="85">
        <f>COUNTIFS(pardazesh!$W$5:$X$41,D15)</f>
        <v>0</v>
      </c>
      <c r="I15" s="91"/>
      <c r="J15" s="92" t="str">
        <f t="shared" si="0"/>
        <v>جليلي اسماعيل</v>
      </c>
      <c r="K15" s="169" t="str">
        <f t="shared" si="3"/>
        <v>A</v>
      </c>
      <c r="N15" s="170" t="str">
        <f t="shared" si="1"/>
        <v xml:space="preserve"> </v>
      </c>
      <c r="O15" s="93" t="str">
        <f t="shared" si="2"/>
        <v/>
      </c>
    </row>
    <row r="16" spans="1:50" s="85" customFormat="1" ht="12" customHeight="1" x14ac:dyDescent="0.2">
      <c r="A16" s="201" t="s">
        <v>536</v>
      </c>
      <c r="B16" s="202" t="s">
        <v>513</v>
      </c>
      <c r="C16" s="202" t="s">
        <v>1026</v>
      </c>
      <c r="D16" s="205" t="s">
        <v>514</v>
      </c>
      <c r="E16" s="198" t="s">
        <v>9</v>
      </c>
      <c r="F16" s="198" t="s">
        <v>504</v>
      </c>
      <c r="G16" s="198" t="s">
        <v>248</v>
      </c>
      <c r="H16" s="85">
        <f>COUNTIFS(pardazesh!$W$5:$X$41,D16)</f>
        <v>0</v>
      </c>
      <c r="I16" s="91"/>
      <c r="J16" s="92" t="str">
        <f t="shared" si="0"/>
        <v>چهار محالي جواد</v>
      </c>
      <c r="K16" s="169" t="str">
        <f t="shared" si="3"/>
        <v>A</v>
      </c>
      <c r="N16" s="170" t="str">
        <f t="shared" si="1"/>
        <v xml:space="preserve"> </v>
      </c>
      <c r="O16" s="93" t="str">
        <f t="shared" si="2"/>
        <v/>
      </c>
    </row>
    <row r="17" spans="1:15" s="85" customFormat="1" ht="12" customHeight="1" x14ac:dyDescent="0.2">
      <c r="A17" s="198" t="s">
        <v>538</v>
      </c>
      <c r="B17" s="202" t="s">
        <v>1599</v>
      </c>
      <c r="C17" s="202" t="s">
        <v>516</v>
      </c>
      <c r="D17" s="205" t="s">
        <v>517</v>
      </c>
      <c r="E17" s="201" t="s">
        <v>9</v>
      </c>
      <c r="F17" s="201" t="s">
        <v>504</v>
      </c>
      <c r="G17" s="201" t="s">
        <v>248</v>
      </c>
      <c r="H17" s="85">
        <f>COUNTIFS(pardazesh!$W$5:$X$41,D17)</f>
        <v>0</v>
      </c>
      <c r="I17" s="91"/>
      <c r="J17" s="92" t="str">
        <f t="shared" si="0"/>
        <v>حسيني رباط سيدداود</v>
      </c>
      <c r="K17" s="169" t="str">
        <f t="shared" si="3"/>
        <v>A</v>
      </c>
      <c r="N17" s="170" t="str">
        <f t="shared" si="1"/>
        <v xml:space="preserve"> </v>
      </c>
      <c r="O17" s="93" t="str">
        <f t="shared" si="2"/>
        <v/>
      </c>
    </row>
    <row r="18" spans="1:15" s="85" customFormat="1" ht="12" customHeight="1" x14ac:dyDescent="0.2">
      <c r="A18" s="201" t="s">
        <v>541</v>
      </c>
      <c r="B18" s="202" t="s">
        <v>1600</v>
      </c>
      <c r="C18" s="202" t="s">
        <v>214</v>
      </c>
      <c r="D18" s="205" t="s">
        <v>519</v>
      </c>
      <c r="E18" s="198" t="s">
        <v>9</v>
      </c>
      <c r="F18" s="198" t="s">
        <v>504</v>
      </c>
      <c r="G18" s="198" t="s">
        <v>248</v>
      </c>
      <c r="H18" s="85">
        <f>COUNTIFS(pardazesh!$W$5:$X$41,D18)</f>
        <v>0</v>
      </c>
      <c r="I18" s="91"/>
      <c r="J18" s="92" t="str">
        <f t="shared" si="0"/>
        <v>رشادي ميرنادر</v>
      </c>
      <c r="K18" s="93" t="str">
        <f t="shared" si="3"/>
        <v>A</v>
      </c>
      <c r="N18" s="92" t="str">
        <f t="shared" si="1"/>
        <v xml:space="preserve"> </v>
      </c>
      <c r="O18" s="93" t="str">
        <f t="shared" si="2"/>
        <v/>
      </c>
    </row>
    <row r="19" spans="1:15" s="85" customFormat="1" ht="12" customHeight="1" x14ac:dyDescent="0.2">
      <c r="A19" s="198" t="s">
        <v>543</v>
      </c>
      <c r="B19" s="202" t="s">
        <v>69</v>
      </c>
      <c r="C19" s="202" t="s">
        <v>124</v>
      </c>
      <c r="D19" s="205" t="s">
        <v>674</v>
      </c>
      <c r="E19" s="198" t="s">
        <v>9</v>
      </c>
      <c r="F19" s="198" t="s">
        <v>504</v>
      </c>
      <c r="G19" s="198" t="s">
        <v>248</v>
      </c>
      <c r="H19" s="85">
        <f>COUNTIFS(pardazesh!$W$5:$X$41,D19)</f>
        <v>0</v>
      </c>
      <c r="I19" s="91"/>
      <c r="J19" s="92" t="str">
        <f t="shared" si="0"/>
        <v>مولاموردي مرتضي</v>
      </c>
      <c r="K19" s="93" t="str">
        <f t="shared" si="3"/>
        <v>A</v>
      </c>
      <c r="N19" s="92" t="str">
        <f t="shared" si="1"/>
        <v xml:space="preserve"> </v>
      </c>
      <c r="O19" s="93" t="str">
        <f t="shared" si="2"/>
        <v/>
      </c>
    </row>
    <row r="20" spans="1:15" s="85" customFormat="1" ht="12" customHeight="1" x14ac:dyDescent="0.2">
      <c r="A20" s="201" t="s">
        <v>547</v>
      </c>
      <c r="B20" s="202" t="s">
        <v>1577</v>
      </c>
      <c r="C20" s="202" t="s">
        <v>956</v>
      </c>
      <c r="D20" s="205" t="s">
        <v>957</v>
      </c>
      <c r="E20" s="198" t="s">
        <v>9</v>
      </c>
      <c r="F20" s="198" t="s">
        <v>504</v>
      </c>
      <c r="G20" s="198" t="s">
        <v>248</v>
      </c>
      <c r="H20" s="85">
        <f>COUNTIFS(pardazesh!$W$5:$X$41,D20)</f>
        <v>0</v>
      </c>
      <c r="I20" s="91"/>
      <c r="J20" s="92" t="str">
        <f t="shared" si="0"/>
        <v>سادين محمدعلي</v>
      </c>
      <c r="K20" s="93" t="str">
        <f t="shared" si="3"/>
        <v>A</v>
      </c>
      <c r="N20" s="92" t="str">
        <f t="shared" si="1"/>
        <v xml:space="preserve"> </v>
      </c>
      <c r="O20" s="93" t="str">
        <f t="shared" si="2"/>
        <v/>
      </c>
    </row>
    <row r="21" spans="1:15" s="85" customFormat="1" ht="12" customHeight="1" x14ac:dyDescent="0.2">
      <c r="A21" s="201" t="s">
        <v>550</v>
      </c>
      <c r="B21" s="203" t="s">
        <v>524</v>
      </c>
      <c r="C21" s="203" t="s">
        <v>96</v>
      </c>
      <c r="D21" s="212">
        <v>74525</v>
      </c>
      <c r="E21" s="201" t="s">
        <v>9</v>
      </c>
      <c r="F21" s="201" t="s">
        <v>504</v>
      </c>
      <c r="G21" s="201" t="s">
        <v>248</v>
      </c>
      <c r="H21" s="85">
        <f>COUNTIFS(pardazesh!$W$5:$X$41,D21)</f>
        <v>0</v>
      </c>
      <c r="I21" s="91"/>
      <c r="J21" s="92" t="str">
        <f t="shared" si="0"/>
        <v>سالمي حسن</v>
      </c>
      <c r="K21" s="93" t="str">
        <f t="shared" si="3"/>
        <v>A</v>
      </c>
      <c r="N21" s="92" t="str">
        <f t="shared" si="1"/>
        <v xml:space="preserve"> </v>
      </c>
      <c r="O21" s="93" t="str">
        <f t="shared" si="2"/>
        <v/>
      </c>
    </row>
    <row r="22" spans="1:15" s="85" customFormat="1" ht="12" customHeight="1" x14ac:dyDescent="0.2">
      <c r="A22" s="198" t="s">
        <v>551</v>
      </c>
      <c r="B22" s="203" t="s">
        <v>95</v>
      </c>
      <c r="C22" s="203" t="s">
        <v>148</v>
      </c>
      <c r="D22" s="212" t="s">
        <v>526</v>
      </c>
      <c r="E22" s="198" t="s">
        <v>9</v>
      </c>
      <c r="F22" s="198" t="s">
        <v>504</v>
      </c>
      <c r="G22" s="198" t="s">
        <v>248</v>
      </c>
      <c r="H22" s="85">
        <f>COUNTIFS(pardazesh!$W$5:$X$41,D22)</f>
        <v>0</v>
      </c>
      <c r="I22" s="91"/>
      <c r="J22" s="92" t="str">
        <f t="shared" si="0"/>
        <v>سياوشي سياوش</v>
      </c>
      <c r="K22" s="93" t="str">
        <f t="shared" si="3"/>
        <v>A</v>
      </c>
      <c r="N22" s="92" t="str">
        <f t="shared" si="1"/>
        <v xml:space="preserve"> </v>
      </c>
      <c r="O22" s="93" t="str">
        <f t="shared" si="2"/>
        <v/>
      </c>
    </row>
    <row r="23" spans="1:15" s="85" customFormat="1" ht="12" customHeight="1" x14ac:dyDescent="0.2">
      <c r="A23" s="201" t="s">
        <v>552</v>
      </c>
      <c r="B23" s="202" t="s">
        <v>64</v>
      </c>
      <c r="C23" s="202" t="s">
        <v>528</v>
      </c>
      <c r="D23" s="205" t="s">
        <v>529</v>
      </c>
      <c r="E23" s="201" t="s">
        <v>9</v>
      </c>
      <c r="F23" s="201" t="s">
        <v>504</v>
      </c>
      <c r="G23" s="201" t="s">
        <v>248</v>
      </c>
      <c r="H23" s="85">
        <f>COUNTIFS(pardazesh!$W$5:$X$41,D23)</f>
        <v>0</v>
      </c>
      <c r="I23" s="91"/>
      <c r="J23" s="92" t="str">
        <f t="shared" si="0"/>
        <v>شكري اصغر</v>
      </c>
      <c r="K23" s="93" t="str">
        <f t="shared" si="3"/>
        <v>A</v>
      </c>
      <c r="N23" s="92" t="str">
        <f t="shared" si="1"/>
        <v xml:space="preserve"> </v>
      </c>
      <c r="O23" s="93" t="str">
        <f t="shared" si="2"/>
        <v/>
      </c>
    </row>
    <row r="24" spans="1:15" s="85" customFormat="1" ht="12" customHeight="1" x14ac:dyDescent="0.2">
      <c r="A24" s="198" t="s">
        <v>553</v>
      </c>
      <c r="B24" s="202" t="s">
        <v>62</v>
      </c>
      <c r="C24" s="202" t="s">
        <v>1373</v>
      </c>
      <c r="D24" s="205" t="s">
        <v>531</v>
      </c>
      <c r="E24" s="198" t="s">
        <v>9</v>
      </c>
      <c r="F24" s="198" t="s">
        <v>504</v>
      </c>
      <c r="G24" s="198" t="s">
        <v>248</v>
      </c>
      <c r="H24" s="85">
        <f>COUNTIFS(pardazesh!$W$5:$X$41,D24)</f>
        <v>0</v>
      </c>
      <c r="I24" s="91"/>
      <c r="J24" s="92" t="str">
        <f t="shared" si="0"/>
        <v>شورگشتي مهدي</v>
      </c>
      <c r="K24" s="93" t="str">
        <f t="shared" si="3"/>
        <v>A</v>
      </c>
      <c r="N24" s="92" t="str">
        <f t="shared" si="1"/>
        <v xml:space="preserve"> </v>
      </c>
      <c r="O24" s="93" t="str">
        <f t="shared" si="2"/>
        <v/>
      </c>
    </row>
    <row r="25" spans="1:15" s="85" customFormat="1" ht="12" customHeight="1" x14ac:dyDescent="0.2">
      <c r="A25" s="201" t="s">
        <v>556</v>
      </c>
      <c r="B25" s="202" t="s">
        <v>58</v>
      </c>
      <c r="C25" s="202" t="s">
        <v>533</v>
      </c>
      <c r="D25" s="206" t="s">
        <v>534</v>
      </c>
      <c r="E25" s="201" t="s">
        <v>9</v>
      </c>
      <c r="F25" s="201" t="s">
        <v>504</v>
      </c>
      <c r="G25" s="201" t="s">
        <v>248</v>
      </c>
      <c r="H25" s="85">
        <f>COUNTIFS(pardazesh!$W$5:$X$41,D25)</f>
        <v>0</v>
      </c>
      <c r="I25" s="91"/>
      <c r="J25" s="92" t="str">
        <f t="shared" si="0"/>
        <v>شيري محمد</v>
      </c>
      <c r="K25" s="93" t="str">
        <f t="shared" si="3"/>
        <v>A</v>
      </c>
      <c r="N25" s="92" t="str">
        <f t="shared" si="1"/>
        <v xml:space="preserve"> </v>
      </c>
      <c r="O25" s="93" t="str">
        <f t="shared" si="2"/>
        <v/>
      </c>
    </row>
    <row r="26" spans="1:15" s="85" customFormat="1" ht="12" customHeight="1" x14ac:dyDescent="0.2">
      <c r="A26" s="201" t="s">
        <v>558</v>
      </c>
      <c r="B26" s="202" t="s">
        <v>65</v>
      </c>
      <c r="C26" s="202" t="s">
        <v>199</v>
      </c>
      <c r="D26" s="206">
        <v>99379</v>
      </c>
      <c r="E26" s="198" t="s">
        <v>9</v>
      </c>
      <c r="F26" s="198" t="s">
        <v>504</v>
      </c>
      <c r="G26" s="198" t="s">
        <v>248</v>
      </c>
      <c r="H26" s="85">
        <f>COUNTIFS(pardazesh!$W$5:$X$41,D26)</f>
        <v>0</v>
      </c>
      <c r="I26" s="91" t="s">
        <v>3</v>
      </c>
      <c r="J26" s="92" t="str">
        <f t="shared" si="0"/>
        <v xml:space="preserve"> </v>
      </c>
      <c r="K26" s="93" t="str">
        <f t="shared" si="3"/>
        <v/>
      </c>
      <c r="N26" s="92" t="str">
        <f t="shared" si="1"/>
        <v xml:space="preserve"> </v>
      </c>
      <c r="O26" s="93" t="str">
        <f t="shared" si="2"/>
        <v/>
      </c>
    </row>
    <row r="27" spans="1:15" s="85" customFormat="1" ht="12" customHeight="1" x14ac:dyDescent="0.2">
      <c r="A27" s="198" t="s">
        <v>562</v>
      </c>
      <c r="B27" s="202" t="s">
        <v>119</v>
      </c>
      <c r="C27" s="202" t="s">
        <v>120</v>
      </c>
      <c r="D27" s="205" t="s">
        <v>537</v>
      </c>
      <c r="E27" s="201" t="s">
        <v>9</v>
      </c>
      <c r="F27" s="201" t="s">
        <v>504</v>
      </c>
      <c r="G27" s="201" t="s">
        <v>248</v>
      </c>
      <c r="H27" s="85">
        <f>COUNTIFS(pardazesh!$W$5:$X$41,D27)</f>
        <v>0</v>
      </c>
      <c r="I27" s="91"/>
      <c r="J27" s="92" t="str">
        <f t="shared" si="0"/>
        <v>صحراگرد محمدرضا</v>
      </c>
      <c r="K27" s="93" t="str">
        <f t="shared" si="3"/>
        <v>A</v>
      </c>
      <c r="N27" s="92" t="str">
        <f t="shared" si="1"/>
        <v xml:space="preserve"> </v>
      </c>
      <c r="O27" s="93" t="str">
        <f t="shared" si="2"/>
        <v/>
      </c>
    </row>
    <row r="28" spans="1:15" s="85" customFormat="1" ht="12" customHeight="1" x14ac:dyDescent="0.2">
      <c r="A28" s="201" t="s">
        <v>563</v>
      </c>
      <c r="B28" s="202" t="s">
        <v>59</v>
      </c>
      <c r="C28" s="202" t="s">
        <v>539</v>
      </c>
      <c r="D28" s="205" t="s">
        <v>540</v>
      </c>
      <c r="E28" s="198" t="s">
        <v>9</v>
      </c>
      <c r="F28" s="198" t="s">
        <v>504</v>
      </c>
      <c r="G28" s="198" t="s">
        <v>248</v>
      </c>
      <c r="H28" s="85">
        <f>COUNTIFS(pardazesh!$W$5:$X$41,D28)</f>
        <v>0</v>
      </c>
      <c r="I28" s="91"/>
      <c r="J28" s="92" t="str">
        <f t="shared" si="0"/>
        <v>عارف پور حسين</v>
      </c>
      <c r="K28" s="93" t="str">
        <f t="shared" si="3"/>
        <v>A</v>
      </c>
      <c r="N28" s="92" t="str">
        <f t="shared" si="1"/>
        <v xml:space="preserve"> </v>
      </c>
      <c r="O28" s="93" t="str">
        <f t="shared" si="2"/>
        <v/>
      </c>
    </row>
    <row r="29" spans="1:15" s="85" customFormat="1" ht="12" customHeight="1" x14ac:dyDescent="0.2">
      <c r="A29" s="198" t="s">
        <v>566</v>
      </c>
      <c r="B29" s="202" t="s">
        <v>61</v>
      </c>
      <c r="C29" s="202" t="s">
        <v>196</v>
      </c>
      <c r="D29" s="205" t="s">
        <v>542</v>
      </c>
      <c r="E29" s="201" t="s">
        <v>9</v>
      </c>
      <c r="F29" s="201" t="s">
        <v>504</v>
      </c>
      <c r="G29" s="201" t="s">
        <v>248</v>
      </c>
      <c r="H29" s="85">
        <f>COUNTIFS(pardazesh!$W$5:$X$41,D29)</f>
        <v>0</v>
      </c>
      <c r="I29" s="91"/>
      <c r="J29" s="92" t="str">
        <f t="shared" si="0"/>
        <v>عمراني ميثم</v>
      </c>
      <c r="K29" s="93" t="str">
        <f t="shared" si="3"/>
        <v>A</v>
      </c>
      <c r="N29" s="92" t="str">
        <f t="shared" si="1"/>
        <v xml:space="preserve"> </v>
      </c>
      <c r="O29" s="93" t="str">
        <f t="shared" si="2"/>
        <v/>
      </c>
    </row>
    <row r="30" spans="1:15" s="85" customFormat="1" ht="12" customHeight="1" x14ac:dyDescent="0.2">
      <c r="A30" s="201" t="s">
        <v>569</v>
      </c>
      <c r="B30" s="202" t="s">
        <v>1601</v>
      </c>
      <c r="C30" s="202" t="s">
        <v>1602</v>
      </c>
      <c r="D30" s="205">
        <v>99841</v>
      </c>
      <c r="E30" s="198" t="s">
        <v>9</v>
      </c>
      <c r="F30" s="198" t="s">
        <v>504</v>
      </c>
      <c r="G30" s="198" t="s">
        <v>248</v>
      </c>
      <c r="H30" s="85">
        <f>COUNTIFS(pardazesh!$W$5:$X$41,D30)</f>
        <v>0</v>
      </c>
      <c r="I30" s="91"/>
      <c r="J30" s="92" t="str">
        <f t="shared" si="0"/>
        <v>مهرآئين شلماني مزدك</v>
      </c>
      <c r="K30" s="93" t="str">
        <f t="shared" si="3"/>
        <v>A</v>
      </c>
      <c r="N30" s="92" t="str">
        <f t="shared" si="1"/>
        <v xml:space="preserve"> </v>
      </c>
      <c r="O30" s="93" t="str">
        <f t="shared" si="2"/>
        <v/>
      </c>
    </row>
    <row r="31" spans="1:15" s="85" customFormat="1" ht="12" customHeight="1" x14ac:dyDescent="0.2">
      <c r="A31" s="201" t="s">
        <v>570</v>
      </c>
      <c r="B31" s="202" t="s">
        <v>147</v>
      </c>
      <c r="C31" s="202" t="s">
        <v>548</v>
      </c>
      <c r="D31" s="205" t="s">
        <v>549</v>
      </c>
      <c r="E31" s="201" t="s">
        <v>9</v>
      </c>
      <c r="F31" s="201" t="s">
        <v>504</v>
      </c>
      <c r="G31" s="201" t="s">
        <v>248</v>
      </c>
      <c r="H31" s="85">
        <f>COUNTIFS(pardazesh!$W$5:$X$41,D31)</f>
        <v>0</v>
      </c>
      <c r="I31" s="91"/>
      <c r="J31" s="92" t="str">
        <f t="shared" si="0"/>
        <v>كاظمي داود</v>
      </c>
      <c r="K31" s="93" t="str">
        <f t="shared" si="3"/>
        <v>A</v>
      </c>
      <c r="N31" s="92" t="str">
        <f t="shared" si="1"/>
        <v xml:space="preserve"> </v>
      </c>
      <c r="O31" s="93" t="str">
        <f t="shared" si="2"/>
        <v/>
      </c>
    </row>
    <row r="32" spans="1:15" s="85" customFormat="1" ht="12" customHeight="1" x14ac:dyDescent="0.2">
      <c r="A32" s="198" t="s">
        <v>573</v>
      </c>
      <c r="B32" s="202" t="s">
        <v>931</v>
      </c>
      <c r="C32" s="202" t="s">
        <v>932</v>
      </c>
      <c r="D32" s="164">
        <v>71547</v>
      </c>
      <c r="E32" s="198" t="s">
        <v>9</v>
      </c>
      <c r="F32" s="198" t="s">
        <v>504</v>
      </c>
      <c r="G32" s="201" t="s">
        <v>248</v>
      </c>
      <c r="H32" s="85">
        <f>COUNTIFS(pardazesh!$W$5:$X$41,D32)</f>
        <v>0</v>
      </c>
      <c r="I32" s="91"/>
      <c r="J32" s="92" t="str">
        <f t="shared" si="0"/>
        <v>مالمير تقي</v>
      </c>
      <c r="K32" s="93" t="str">
        <f t="shared" si="3"/>
        <v>A</v>
      </c>
      <c r="N32" s="92" t="str">
        <f t="shared" si="1"/>
        <v xml:space="preserve"> </v>
      </c>
      <c r="O32" s="93" t="str">
        <f t="shared" si="2"/>
        <v/>
      </c>
    </row>
    <row r="33" spans="1:15" s="85" customFormat="1" ht="12" customHeight="1" x14ac:dyDescent="0.2">
      <c r="A33" s="201" t="s">
        <v>575</v>
      </c>
      <c r="B33" s="202" t="s">
        <v>60</v>
      </c>
      <c r="C33" s="202" t="s">
        <v>1576</v>
      </c>
      <c r="D33" s="205">
        <v>99596</v>
      </c>
      <c r="E33" s="201" t="s">
        <v>9</v>
      </c>
      <c r="F33" s="201" t="s">
        <v>504</v>
      </c>
      <c r="G33" s="201" t="s">
        <v>248</v>
      </c>
      <c r="H33" s="85">
        <f>COUNTIFS(pardazesh!$W$5:$X$41,D33)</f>
        <v>0</v>
      </c>
      <c r="I33" s="91"/>
      <c r="J33" s="92" t="str">
        <f t="shared" si="0"/>
        <v>محمد پور سلامي سعيد</v>
      </c>
      <c r="K33" s="93" t="str">
        <f t="shared" si="3"/>
        <v>A</v>
      </c>
      <c r="N33" s="92" t="str">
        <f t="shared" si="1"/>
        <v xml:space="preserve"> </v>
      </c>
      <c r="O33" s="93" t="str">
        <f t="shared" si="2"/>
        <v/>
      </c>
    </row>
    <row r="34" spans="1:15" s="85" customFormat="1" ht="12" customHeight="1" x14ac:dyDescent="0.2">
      <c r="A34" s="198" t="s">
        <v>578</v>
      </c>
      <c r="B34" s="202" t="s">
        <v>1027</v>
      </c>
      <c r="C34" s="202" t="s">
        <v>1028</v>
      </c>
      <c r="D34" s="205">
        <v>72761</v>
      </c>
      <c r="E34" s="198" t="s">
        <v>9</v>
      </c>
      <c r="F34" s="198" t="s">
        <v>504</v>
      </c>
      <c r="G34" s="201" t="s">
        <v>248</v>
      </c>
      <c r="H34" s="85">
        <f>COUNTIFS(pardazesh!$W$5:$X$41,D34)</f>
        <v>0</v>
      </c>
      <c r="I34" s="91" t="s">
        <v>3</v>
      </c>
      <c r="J34" s="92" t="str">
        <f t="shared" si="0"/>
        <v xml:space="preserve"> </v>
      </c>
      <c r="K34" s="93" t="str">
        <f t="shared" si="3"/>
        <v/>
      </c>
      <c r="N34" s="92" t="str">
        <f t="shared" si="1"/>
        <v xml:space="preserve"> </v>
      </c>
      <c r="O34" s="93" t="str">
        <f t="shared" si="2"/>
        <v/>
      </c>
    </row>
    <row r="35" spans="1:15" s="85" customFormat="1" ht="12" customHeight="1" x14ac:dyDescent="0.2">
      <c r="A35" s="201" t="s">
        <v>579</v>
      </c>
      <c r="B35" s="202"/>
      <c r="C35" s="202"/>
      <c r="D35" s="205">
        <v>11111</v>
      </c>
      <c r="E35" s="201" t="s">
        <v>9</v>
      </c>
      <c r="F35" s="201" t="s">
        <v>504</v>
      </c>
      <c r="G35" s="201" t="s">
        <v>248</v>
      </c>
      <c r="H35" s="85">
        <f>COUNTIFS(pardazesh!$W$5:$X$41,D35)</f>
        <v>0</v>
      </c>
      <c r="I35" s="91" t="s">
        <v>3</v>
      </c>
      <c r="J35" s="92" t="str">
        <f t="shared" ref="J35:J66" si="4">IF(AND(H35=0,I35&lt;&gt;"T"),C35,"")&amp;" "&amp;IF(AND(H35=0,I35&lt;&gt;"T"),B35,"")</f>
        <v xml:space="preserve"> </v>
      </c>
      <c r="K35" s="93" t="str">
        <f t="shared" si="3"/>
        <v/>
      </c>
      <c r="N35" s="92" t="str">
        <f t="shared" ref="N35:N66" si="5">IF(H35&lt;&gt;0,C35,"")&amp;" "&amp;IF(H35&lt;&gt;0,B35,"")</f>
        <v xml:space="preserve"> </v>
      </c>
      <c r="O35" s="93" t="str">
        <f t="shared" ref="O35:O66" si="6">IF(H35&lt;&gt;0,G35,"")</f>
        <v/>
      </c>
    </row>
    <row r="36" spans="1:15" s="85" customFormat="1" ht="12" customHeight="1" x14ac:dyDescent="0.2">
      <c r="A36" s="201" t="s">
        <v>580</v>
      </c>
      <c r="B36" s="220" t="s">
        <v>559</v>
      </c>
      <c r="C36" s="202" t="s">
        <v>560</v>
      </c>
      <c r="D36" s="205" t="s">
        <v>561</v>
      </c>
      <c r="E36" s="221" t="s">
        <v>9</v>
      </c>
      <c r="F36" s="198" t="s">
        <v>504</v>
      </c>
      <c r="G36" s="201" t="s">
        <v>248</v>
      </c>
      <c r="H36" s="85">
        <f>COUNTIFS(pardazesh!$W$5:$X$41,D36)</f>
        <v>0</v>
      </c>
      <c r="I36" s="91"/>
      <c r="J36" s="92" t="str">
        <f t="shared" si="4"/>
        <v>ملكي فرد عبدالرضا</v>
      </c>
      <c r="K36" s="169" t="str">
        <f t="shared" si="3"/>
        <v>A</v>
      </c>
      <c r="N36" s="170" t="str">
        <f t="shared" si="5"/>
        <v xml:space="preserve"> </v>
      </c>
      <c r="O36" s="93" t="str">
        <f t="shared" si="6"/>
        <v/>
      </c>
    </row>
    <row r="37" spans="1:15" s="85" customFormat="1" ht="12" customHeight="1" x14ac:dyDescent="0.2">
      <c r="A37" s="198" t="s">
        <v>582</v>
      </c>
      <c r="B37" s="202" t="s">
        <v>101</v>
      </c>
      <c r="C37" s="202" t="s">
        <v>935</v>
      </c>
      <c r="D37" s="205" t="s">
        <v>948</v>
      </c>
      <c r="E37" s="201" t="s">
        <v>9</v>
      </c>
      <c r="F37" s="201" t="s">
        <v>504</v>
      </c>
      <c r="G37" s="201" t="s">
        <v>248</v>
      </c>
      <c r="H37" s="85">
        <f>COUNTIFS(pardazesh!$W$5:$X$41,D37)</f>
        <v>0</v>
      </c>
      <c r="I37" s="91"/>
      <c r="J37" s="92" t="str">
        <f t="shared" si="4"/>
        <v>شعبان دوست رضا</v>
      </c>
      <c r="K37" s="93" t="str">
        <f t="shared" si="3"/>
        <v>A</v>
      </c>
      <c r="N37" s="92" t="str">
        <f t="shared" si="5"/>
        <v xml:space="preserve"> </v>
      </c>
      <c r="O37" s="93" t="str">
        <f t="shared" si="6"/>
        <v/>
      </c>
    </row>
    <row r="38" spans="1:15" s="85" customFormat="1" ht="12" customHeight="1" x14ac:dyDescent="0.2">
      <c r="A38" s="201" t="s">
        <v>584</v>
      </c>
      <c r="B38" s="202" t="s">
        <v>58</v>
      </c>
      <c r="C38" s="202" t="s">
        <v>934</v>
      </c>
      <c r="D38" s="205" t="s">
        <v>950</v>
      </c>
      <c r="E38" s="201" t="s">
        <v>9</v>
      </c>
      <c r="F38" s="201" t="s">
        <v>504</v>
      </c>
      <c r="G38" s="201" t="s">
        <v>248</v>
      </c>
      <c r="H38" s="85">
        <f>COUNTIFS(pardazesh!$W$5:$X$41,D38)</f>
        <v>0</v>
      </c>
      <c r="I38" s="91"/>
      <c r="J38" s="92" t="str">
        <f t="shared" si="4"/>
        <v>علي زاده گلدياني محمد</v>
      </c>
      <c r="K38" s="93" t="str">
        <f t="shared" si="3"/>
        <v>A</v>
      </c>
      <c r="N38" s="92" t="str">
        <f t="shared" si="5"/>
        <v xml:space="preserve"> </v>
      </c>
      <c r="O38" s="93" t="str">
        <f t="shared" si="6"/>
        <v/>
      </c>
    </row>
    <row r="39" spans="1:15" s="85" customFormat="1" ht="12" customHeight="1" x14ac:dyDescent="0.2">
      <c r="A39" s="198" t="s">
        <v>586</v>
      </c>
      <c r="B39" s="202" t="s">
        <v>567</v>
      </c>
      <c r="C39" s="202" t="s">
        <v>105</v>
      </c>
      <c r="D39" s="206" t="s">
        <v>568</v>
      </c>
      <c r="E39" s="201" t="s">
        <v>9</v>
      </c>
      <c r="F39" s="201" t="s">
        <v>504</v>
      </c>
      <c r="G39" s="201" t="s">
        <v>248</v>
      </c>
      <c r="H39" s="85">
        <f>COUNTIFS(pardazesh!$W$5:$X$41,D39)</f>
        <v>0</v>
      </c>
      <c r="I39" s="91"/>
      <c r="J39" s="92" t="str">
        <f t="shared" si="4"/>
        <v>ميرزائي حبيب</v>
      </c>
      <c r="K39" s="93" t="str">
        <f t="shared" si="3"/>
        <v>A</v>
      </c>
      <c r="N39" s="92" t="str">
        <f t="shared" si="5"/>
        <v xml:space="preserve"> </v>
      </c>
      <c r="O39" s="93" t="str">
        <f t="shared" si="6"/>
        <v/>
      </c>
    </row>
    <row r="40" spans="1:15" s="85" customFormat="1" ht="12" customHeight="1" x14ac:dyDescent="0.2">
      <c r="A40" s="201" t="s">
        <v>589</v>
      </c>
      <c r="B40" s="202" t="s">
        <v>513</v>
      </c>
      <c r="C40" s="202" t="s">
        <v>958</v>
      </c>
      <c r="D40" s="205" t="s">
        <v>959</v>
      </c>
      <c r="E40" s="201" t="s">
        <v>9</v>
      </c>
      <c r="F40" s="201" t="s">
        <v>504</v>
      </c>
      <c r="G40" s="201" t="s">
        <v>248</v>
      </c>
      <c r="H40" s="85">
        <f>COUNTIFS(pardazesh!$W$5:$X$41,D40)</f>
        <v>0</v>
      </c>
      <c r="I40" s="91" t="s">
        <v>3</v>
      </c>
      <c r="J40" s="92" t="str">
        <f t="shared" si="4"/>
        <v xml:space="preserve"> </v>
      </c>
      <c r="K40" s="93" t="str">
        <f t="shared" si="3"/>
        <v/>
      </c>
      <c r="N40" s="92" t="str">
        <f t="shared" si="5"/>
        <v xml:space="preserve"> </v>
      </c>
      <c r="O40" s="93" t="str">
        <f t="shared" si="6"/>
        <v/>
      </c>
    </row>
    <row r="41" spans="1:15" s="85" customFormat="1" ht="12" customHeight="1" x14ac:dyDescent="0.2">
      <c r="A41" s="201" t="s">
        <v>590</v>
      </c>
      <c r="B41" s="202" t="s">
        <v>101</v>
      </c>
      <c r="C41" s="202" t="s">
        <v>936</v>
      </c>
      <c r="D41" s="205" t="s">
        <v>951</v>
      </c>
      <c r="E41" s="198" t="s">
        <v>9</v>
      </c>
      <c r="F41" s="198" t="s">
        <v>504</v>
      </c>
      <c r="G41" s="201" t="s">
        <v>248</v>
      </c>
      <c r="H41" s="85">
        <f>COUNTIFS(pardazesh!$W$5:$X$41,D41)</f>
        <v>0</v>
      </c>
      <c r="I41" s="91" t="s">
        <v>3</v>
      </c>
      <c r="J41" s="92" t="str">
        <f t="shared" si="4"/>
        <v xml:space="preserve"> </v>
      </c>
      <c r="K41" s="93" t="str">
        <f t="shared" si="3"/>
        <v/>
      </c>
      <c r="N41" s="92" t="str">
        <f t="shared" si="5"/>
        <v xml:space="preserve"> </v>
      </c>
      <c r="O41" s="93" t="str">
        <f t="shared" si="6"/>
        <v/>
      </c>
    </row>
    <row r="42" spans="1:15" s="85" customFormat="1" ht="12" customHeight="1" x14ac:dyDescent="0.2">
      <c r="A42" s="198" t="s">
        <v>591</v>
      </c>
      <c r="B42" s="202" t="s">
        <v>224</v>
      </c>
      <c r="C42" s="202" t="s">
        <v>225</v>
      </c>
      <c r="D42" s="205" t="s">
        <v>677</v>
      </c>
      <c r="E42" s="198" t="s">
        <v>9</v>
      </c>
      <c r="F42" s="198" t="s">
        <v>504</v>
      </c>
      <c r="G42" s="201" t="s">
        <v>248</v>
      </c>
      <c r="H42" s="85">
        <f>COUNTIFS(pardazesh!$W$5:$X$41,D42)</f>
        <v>0</v>
      </c>
      <c r="I42" s="91"/>
      <c r="J42" s="92" t="str">
        <f t="shared" si="4"/>
        <v>وفائي مهران</v>
      </c>
      <c r="K42" s="93" t="str">
        <f t="shared" si="3"/>
        <v>A</v>
      </c>
      <c r="N42" s="92" t="str">
        <f t="shared" si="5"/>
        <v xml:space="preserve"> </v>
      </c>
      <c r="O42" s="93" t="str">
        <f t="shared" si="6"/>
        <v/>
      </c>
    </row>
    <row r="43" spans="1:15" s="85" customFormat="1" ht="12" customHeight="1" x14ac:dyDescent="0.2">
      <c r="A43" s="201" t="s">
        <v>593</v>
      </c>
      <c r="B43" s="202"/>
      <c r="C43" s="202"/>
      <c r="D43" s="205">
        <v>111111</v>
      </c>
      <c r="E43" s="201"/>
      <c r="F43" s="201"/>
      <c r="G43" s="201"/>
      <c r="H43" s="85">
        <f>COUNTIFS(pardazesh!$W$5:$X$41,D43)</f>
        <v>0</v>
      </c>
      <c r="I43" s="91" t="s">
        <v>1618</v>
      </c>
      <c r="J43" s="92" t="str">
        <f t="shared" si="4"/>
        <v xml:space="preserve"> </v>
      </c>
      <c r="K43" s="93" t="str">
        <f t="shared" si="3"/>
        <v/>
      </c>
      <c r="N43" s="92" t="str">
        <f t="shared" si="5"/>
        <v xml:space="preserve"> </v>
      </c>
      <c r="O43" s="93" t="str">
        <f t="shared" si="6"/>
        <v/>
      </c>
    </row>
    <row r="44" spans="1:15" s="85" customFormat="1" ht="12" customHeight="1" x14ac:dyDescent="0.2">
      <c r="A44" s="198" t="s">
        <v>595</v>
      </c>
      <c r="B44" s="88" t="s">
        <v>85</v>
      </c>
      <c r="C44" s="88" t="s">
        <v>960</v>
      </c>
      <c r="D44" s="213">
        <v>99846</v>
      </c>
      <c r="E44" s="209" t="s">
        <v>9</v>
      </c>
      <c r="F44" s="209" t="s">
        <v>1018</v>
      </c>
      <c r="G44" s="209" t="s">
        <v>249</v>
      </c>
      <c r="H44" s="85">
        <f>COUNTIFS(pardazesh!$W$5:$X$41,D44)</f>
        <v>0</v>
      </c>
      <c r="I44" s="91" t="s">
        <v>3</v>
      </c>
      <c r="J44" s="92" t="str">
        <f t="shared" si="4"/>
        <v xml:space="preserve"> </v>
      </c>
      <c r="K44" s="93" t="str">
        <f t="shared" si="3"/>
        <v/>
      </c>
      <c r="N44" s="92" t="str">
        <f t="shared" si="5"/>
        <v xml:space="preserve"> </v>
      </c>
      <c r="O44" s="93" t="str">
        <f t="shared" si="6"/>
        <v/>
      </c>
    </row>
    <row r="45" spans="1:15" s="85" customFormat="1" ht="12" customHeight="1" x14ac:dyDescent="0.2">
      <c r="A45" s="201" t="s">
        <v>596</v>
      </c>
      <c r="B45" s="199" t="s">
        <v>944</v>
      </c>
      <c r="C45" s="199" t="s">
        <v>945</v>
      </c>
      <c r="D45" s="214">
        <v>71575</v>
      </c>
      <c r="E45" s="209" t="s">
        <v>9</v>
      </c>
      <c r="F45" s="209" t="s">
        <v>1018</v>
      </c>
      <c r="G45" s="209" t="s">
        <v>249</v>
      </c>
      <c r="H45" s="85">
        <f>COUNTIFS(pardazesh!$W$5:$X$41,D45)</f>
        <v>0</v>
      </c>
      <c r="I45" s="91" t="s">
        <v>3</v>
      </c>
      <c r="J45" s="92" t="str">
        <f t="shared" si="4"/>
        <v xml:space="preserve"> </v>
      </c>
      <c r="K45" s="93" t="str">
        <f t="shared" si="3"/>
        <v/>
      </c>
      <c r="N45" s="92" t="str">
        <f t="shared" si="5"/>
        <v xml:space="preserve"> </v>
      </c>
      <c r="O45" s="93" t="str">
        <f t="shared" si="6"/>
        <v/>
      </c>
    </row>
    <row r="46" spans="1:15" s="85" customFormat="1" ht="12" customHeight="1" x14ac:dyDescent="0.2">
      <c r="A46" s="201" t="s">
        <v>598</v>
      </c>
      <c r="B46" s="199" t="s">
        <v>62</v>
      </c>
      <c r="C46" s="199" t="s">
        <v>206</v>
      </c>
      <c r="D46" s="214">
        <v>99385</v>
      </c>
      <c r="E46" s="209" t="s">
        <v>9</v>
      </c>
      <c r="F46" s="209" t="s">
        <v>1018</v>
      </c>
      <c r="G46" s="209" t="s">
        <v>249</v>
      </c>
      <c r="H46" s="85">
        <f>COUNTIFS(pardazesh!$W$5:$X$41,D46)</f>
        <v>0</v>
      </c>
      <c r="I46" s="91" t="s">
        <v>3</v>
      </c>
      <c r="J46" s="92" t="str">
        <f t="shared" si="4"/>
        <v xml:space="preserve"> </v>
      </c>
      <c r="K46" s="93" t="str">
        <f t="shared" si="3"/>
        <v/>
      </c>
      <c r="N46" s="92" t="str">
        <f t="shared" si="5"/>
        <v xml:space="preserve"> </v>
      </c>
      <c r="O46" s="93" t="str">
        <f t="shared" si="6"/>
        <v/>
      </c>
    </row>
    <row r="47" spans="1:15" s="85" customFormat="1" ht="12" customHeight="1" x14ac:dyDescent="0.2">
      <c r="A47" s="198" t="s">
        <v>601</v>
      </c>
      <c r="B47" s="199" t="s">
        <v>58</v>
      </c>
      <c r="C47" s="199" t="s">
        <v>930</v>
      </c>
      <c r="D47" s="213">
        <v>99532</v>
      </c>
      <c r="E47" s="209" t="s">
        <v>9</v>
      </c>
      <c r="F47" s="209" t="s">
        <v>1018</v>
      </c>
      <c r="G47" s="209" t="s">
        <v>249</v>
      </c>
      <c r="H47" s="85">
        <f>COUNTIFS(pardazesh!$W$5:$X$41,D47)</f>
        <v>0</v>
      </c>
      <c r="I47" s="91" t="s">
        <v>3</v>
      </c>
      <c r="J47" s="92" t="str">
        <f t="shared" si="4"/>
        <v xml:space="preserve"> </v>
      </c>
      <c r="K47" s="93" t="str">
        <f t="shared" si="3"/>
        <v/>
      </c>
      <c r="N47" s="92" t="str">
        <f t="shared" si="5"/>
        <v xml:space="preserve"> </v>
      </c>
      <c r="O47" s="93" t="str">
        <f t="shared" si="6"/>
        <v/>
      </c>
    </row>
    <row r="48" spans="1:15" s="85" customFormat="1" ht="12" customHeight="1" x14ac:dyDescent="0.2">
      <c r="A48" s="201" t="s">
        <v>602</v>
      </c>
      <c r="B48" s="202" t="s">
        <v>116</v>
      </c>
      <c r="C48" s="202" t="s">
        <v>1614</v>
      </c>
      <c r="D48" s="205">
        <v>97977</v>
      </c>
      <c r="E48" s="209" t="s">
        <v>9</v>
      </c>
      <c r="F48" s="209" t="s">
        <v>1018</v>
      </c>
      <c r="G48" s="209" t="s">
        <v>249</v>
      </c>
      <c r="H48" s="85">
        <f>COUNTIFS(pardazesh!$W$5:$X$41,D48)</f>
        <v>0</v>
      </c>
      <c r="I48" s="91" t="s">
        <v>3</v>
      </c>
      <c r="J48" s="92" t="str">
        <f t="shared" si="4"/>
        <v xml:space="preserve"> </v>
      </c>
      <c r="K48" s="93" t="str">
        <f t="shared" si="3"/>
        <v/>
      </c>
      <c r="N48" s="92" t="str">
        <f t="shared" si="5"/>
        <v xml:space="preserve"> </v>
      </c>
      <c r="O48" s="93" t="str">
        <f t="shared" si="6"/>
        <v/>
      </c>
    </row>
    <row r="49" spans="1:15" s="85" customFormat="1" ht="12" customHeight="1" x14ac:dyDescent="0.2">
      <c r="A49" s="198" t="s">
        <v>604</v>
      </c>
      <c r="B49" s="199" t="s">
        <v>71</v>
      </c>
      <c r="C49" s="199" t="s">
        <v>72</v>
      </c>
      <c r="D49" s="209" t="s">
        <v>585</v>
      </c>
      <c r="E49" s="209" t="s">
        <v>9</v>
      </c>
      <c r="F49" s="209" t="s">
        <v>1018</v>
      </c>
      <c r="G49" s="209" t="s">
        <v>249</v>
      </c>
      <c r="H49" s="85">
        <f>COUNTIFS(pardazesh!$W$5:$X$41,D49)</f>
        <v>0</v>
      </c>
      <c r="I49" s="91" t="s">
        <v>3</v>
      </c>
      <c r="J49" s="92" t="str">
        <f t="shared" si="4"/>
        <v xml:space="preserve"> </v>
      </c>
      <c r="K49" s="93" t="str">
        <f t="shared" si="3"/>
        <v/>
      </c>
      <c r="N49" s="92" t="str">
        <f t="shared" si="5"/>
        <v xml:space="preserve"> </v>
      </c>
      <c r="O49" s="93" t="str">
        <f t="shared" si="6"/>
        <v/>
      </c>
    </row>
    <row r="50" spans="1:15" s="85" customFormat="1" ht="12" customHeight="1" x14ac:dyDescent="0.2">
      <c r="A50" s="201" t="s">
        <v>605</v>
      </c>
      <c r="B50" s="199" t="s">
        <v>943</v>
      </c>
      <c r="C50" s="199" t="s">
        <v>962</v>
      </c>
      <c r="D50" s="213">
        <v>76553</v>
      </c>
      <c r="E50" s="209" t="s">
        <v>9</v>
      </c>
      <c r="F50" s="209" t="s">
        <v>1018</v>
      </c>
      <c r="G50" s="209" t="s">
        <v>249</v>
      </c>
      <c r="H50" s="85">
        <f>COUNTIFS(pardazesh!$W$5:$X$41,D50)</f>
        <v>0</v>
      </c>
      <c r="I50" s="91" t="s">
        <v>3</v>
      </c>
      <c r="J50" s="92" t="str">
        <f t="shared" si="4"/>
        <v xml:space="preserve"> </v>
      </c>
      <c r="K50" s="93" t="str">
        <f t="shared" si="3"/>
        <v/>
      </c>
      <c r="N50" s="92" t="str">
        <f t="shared" si="5"/>
        <v xml:space="preserve"> </v>
      </c>
      <c r="O50" s="93" t="str">
        <f t="shared" si="6"/>
        <v/>
      </c>
    </row>
    <row r="51" spans="1:15" s="85" customFormat="1" ht="12" customHeight="1" x14ac:dyDescent="0.2">
      <c r="A51" s="201" t="s">
        <v>607</v>
      </c>
      <c r="B51" s="202" t="s">
        <v>624</v>
      </c>
      <c r="C51" s="202" t="s">
        <v>961</v>
      </c>
      <c r="D51" s="206">
        <v>99286</v>
      </c>
      <c r="E51" s="201" t="s">
        <v>9</v>
      </c>
      <c r="F51" s="198" t="s">
        <v>504</v>
      </c>
      <c r="G51" s="201" t="s">
        <v>249</v>
      </c>
      <c r="H51" s="85">
        <f>COUNTIFS(pardazesh!$W$5:$X$41,D51)</f>
        <v>0</v>
      </c>
      <c r="I51" s="91" t="s">
        <v>3</v>
      </c>
      <c r="J51" s="92" t="str">
        <f t="shared" si="4"/>
        <v xml:space="preserve"> </v>
      </c>
      <c r="K51" s="93" t="str">
        <f t="shared" si="3"/>
        <v/>
      </c>
      <c r="N51" s="92" t="str">
        <f t="shared" si="5"/>
        <v xml:space="preserve"> </v>
      </c>
      <c r="O51" s="93" t="str">
        <f t="shared" si="6"/>
        <v/>
      </c>
    </row>
    <row r="52" spans="1:15" s="85" customFormat="1" ht="12" customHeight="1" x14ac:dyDescent="0.2">
      <c r="A52" s="198" t="s">
        <v>609</v>
      </c>
      <c r="B52" s="202" t="s">
        <v>75</v>
      </c>
      <c r="C52" s="202" t="s">
        <v>576</v>
      </c>
      <c r="D52" s="206" t="s">
        <v>577</v>
      </c>
      <c r="E52" s="198" t="s">
        <v>9</v>
      </c>
      <c r="F52" s="198" t="s">
        <v>504</v>
      </c>
      <c r="G52" s="198" t="s">
        <v>249</v>
      </c>
      <c r="H52" s="85">
        <f>COUNTIFS(pardazesh!$W$5:$X$41,D52)</f>
        <v>0</v>
      </c>
      <c r="I52" s="91"/>
      <c r="J52" s="92" t="str">
        <f t="shared" si="4"/>
        <v>اسدي بهمن</v>
      </c>
      <c r="K52" s="93" t="str">
        <f t="shared" si="3"/>
        <v>B</v>
      </c>
      <c r="N52" s="92" t="str">
        <f t="shared" si="5"/>
        <v xml:space="preserve"> </v>
      </c>
      <c r="O52" s="93" t="str">
        <f t="shared" si="6"/>
        <v/>
      </c>
    </row>
    <row r="53" spans="1:15" s="85" customFormat="1" ht="12" customHeight="1" x14ac:dyDescent="0.2">
      <c r="A53" s="201" t="s">
        <v>611</v>
      </c>
      <c r="B53" s="202" t="s">
        <v>1615</v>
      </c>
      <c r="C53" s="202" t="s">
        <v>1616</v>
      </c>
      <c r="D53" s="206">
        <v>72745</v>
      </c>
      <c r="E53" s="198" t="s">
        <v>9</v>
      </c>
      <c r="F53" s="198" t="s">
        <v>1617</v>
      </c>
      <c r="G53" s="198" t="s">
        <v>249</v>
      </c>
      <c r="H53" s="85">
        <f>COUNTIFS(pardazesh!$W$5:$X$41,D53)</f>
        <v>0</v>
      </c>
      <c r="I53" s="91"/>
      <c r="J53" s="92" t="str">
        <f t="shared" si="4"/>
        <v>قجري يوسف</v>
      </c>
      <c r="K53" s="93" t="str">
        <f t="shared" si="3"/>
        <v>B</v>
      </c>
      <c r="N53" s="92" t="str">
        <f t="shared" si="5"/>
        <v xml:space="preserve"> </v>
      </c>
      <c r="O53" s="93" t="str">
        <f t="shared" si="6"/>
        <v/>
      </c>
    </row>
    <row r="54" spans="1:15" s="85" customFormat="1" ht="12" customHeight="1" x14ac:dyDescent="0.2">
      <c r="A54" s="218" t="s">
        <v>612</v>
      </c>
      <c r="B54" s="202" t="s">
        <v>62</v>
      </c>
      <c r="C54" s="202" t="s">
        <v>107</v>
      </c>
      <c r="D54" s="206" t="s">
        <v>574</v>
      </c>
      <c r="E54" s="215" t="s">
        <v>9</v>
      </c>
      <c r="F54" s="215" t="s">
        <v>504</v>
      </c>
      <c r="G54" s="215" t="s">
        <v>249</v>
      </c>
      <c r="H54" s="85">
        <f>COUNTIFS(pardazesh!$W$5:$X$41,D54)</f>
        <v>0</v>
      </c>
      <c r="I54" s="238"/>
      <c r="J54" s="92" t="str">
        <f t="shared" si="4"/>
        <v>آراميده مهدي</v>
      </c>
      <c r="K54" s="93" t="str">
        <f t="shared" si="3"/>
        <v>B</v>
      </c>
      <c r="M54" s="87"/>
      <c r="N54" s="222" t="str">
        <f t="shared" si="5"/>
        <v xml:space="preserve"> </v>
      </c>
      <c r="O54" s="93" t="str">
        <f t="shared" si="6"/>
        <v/>
      </c>
    </row>
    <row r="55" spans="1:15" s="85" customFormat="1" ht="12" customHeight="1" x14ac:dyDescent="0.2">
      <c r="A55" s="201" t="s">
        <v>614</v>
      </c>
      <c r="B55" s="202" t="s">
        <v>73</v>
      </c>
      <c r="C55" s="202" t="s">
        <v>74</v>
      </c>
      <c r="D55" s="205" t="s">
        <v>581</v>
      </c>
      <c r="E55" s="201" t="s">
        <v>9</v>
      </c>
      <c r="F55" s="201" t="s">
        <v>504</v>
      </c>
      <c r="G55" s="201" t="s">
        <v>249</v>
      </c>
      <c r="H55" s="85">
        <f>COUNTIFS(pardazesh!$W$5:$X$41,D55)</f>
        <v>0</v>
      </c>
      <c r="I55" s="91"/>
      <c r="J55" s="92" t="str">
        <f t="shared" si="4"/>
        <v>توانا علي</v>
      </c>
      <c r="K55" s="93" t="str">
        <f t="shared" si="3"/>
        <v>B</v>
      </c>
      <c r="N55" s="92" t="str">
        <f t="shared" si="5"/>
        <v xml:space="preserve"> </v>
      </c>
      <c r="O55" s="93" t="str">
        <f t="shared" si="6"/>
        <v/>
      </c>
    </row>
    <row r="56" spans="1:15" s="85" customFormat="1" ht="12" customHeight="1" x14ac:dyDescent="0.2">
      <c r="A56" s="201" t="s">
        <v>616</v>
      </c>
      <c r="B56" s="202" t="s">
        <v>963</v>
      </c>
      <c r="C56" s="202" t="s">
        <v>964</v>
      </c>
      <c r="D56" s="205">
        <v>99363</v>
      </c>
      <c r="E56" s="198" t="s">
        <v>9</v>
      </c>
      <c r="F56" s="198" t="s">
        <v>504</v>
      </c>
      <c r="G56" s="198" t="s">
        <v>249</v>
      </c>
      <c r="H56" s="85">
        <f>COUNTIFS(pardazesh!$W$5:$X$41,D56)</f>
        <v>0</v>
      </c>
      <c r="I56" s="87" t="s">
        <v>3</v>
      </c>
      <c r="J56" s="92" t="str">
        <f t="shared" si="4"/>
        <v xml:space="preserve"> </v>
      </c>
      <c r="K56" s="93" t="str">
        <f t="shared" si="3"/>
        <v/>
      </c>
      <c r="N56" s="92" t="str">
        <f t="shared" si="5"/>
        <v xml:space="preserve"> </v>
      </c>
      <c r="O56" s="93" t="str">
        <f t="shared" si="6"/>
        <v/>
      </c>
    </row>
    <row r="57" spans="1:15" s="85" customFormat="1" ht="12" customHeight="1" x14ac:dyDescent="0.2">
      <c r="A57" s="198" t="s">
        <v>619</v>
      </c>
      <c r="B57" s="202" t="s">
        <v>85</v>
      </c>
      <c r="C57" s="202" t="s">
        <v>88</v>
      </c>
      <c r="D57" s="205" t="s">
        <v>583</v>
      </c>
      <c r="E57" s="201" t="s">
        <v>9</v>
      </c>
      <c r="F57" s="201" t="s">
        <v>504</v>
      </c>
      <c r="G57" s="201" t="s">
        <v>249</v>
      </c>
      <c r="H57" s="85">
        <f>COUNTIFS(pardazesh!$W$5:$X$41,D57)</f>
        <v>0</v>
      </c>
      <c r="I57" s="91"/>
      <c r="J57" s="92" t="str">
        <f t="shared" si="4"/>
        <v>حسنلو وحيد</v>
      </c>
      <c r="K57" s="93" t="str">
        <f t="shared" si="3"/>
        <v>B</v>
      </c>
      <c r="N57" s="92" t="str">
        <f t="shared" si="5"/>
        <v xml:space="preserve"> </v>
      </c>
      <c r="O57" s="93" t="str">
        <f t="shared" si="6"/>
        <v/>
      </c>
    </row>
    <row r="58" spans="1:15" s="85" customFormat="1" ht="12" customHeight="1" x14ac:dyDescent="0.2">
      <c r="A58" s="201" t="s">
        <v>621</v>
      </c>
      <c r="B58" s="202" t="s">
        <v>119</v>
      </c>
      <c r="C58" s="202" t="s">
        <v>521</v>
      </c>
      <c r="D58" s="205" t="s">
        <v>522</v>
      </c>
      <c r="E58" s="198" t="s">
        <v>9</v>
      </c>
      <c r="F58" s="198" t="s">
        <v>504</v>
      </c>
      <c r="G58" s="198" t="s">
        <v>249</v>
      </c>
      <c r="H58" s="85">
        <f>COUNTIFS(pardazesh!$W$5:$X$41,D58)</f>
        <v>0</v>
      </c>
      <c r="I58" s="91"/>
      <c r="J58" s="92" t="str">
        <f t="shared" si="4"/>
        <v>زعيمي محمدرضا</v>
      </c>
      <c r="K58" s="93" t="str">
        <f t="shared" si="3"/>
        <v>B</v>
      </c>
      <c r="N58" s="92" t="str">
        <f t="shared" si="5"/>
        <v xml:space="preserve"> </v>
      </c>
      <c r="O58" s="93" t="str">
        <f t="shared" si="6"/>
        <v/>
      </c>
    </row>
    <row r="59" spans="1:15" s="85" customFormat="1" ht="12" customHeight="1" x14ac:dyDescent="0.2">
      <c r="A59" s="198" t="s">
        <v>623</v>
      </c>
      <c r="B59" s="202" t="s">
        <v>59</v>
      </c>
      <c r="C59" s="202" t="s">
        <v>965</v>
      </c>
      <c r="D59" s="206" t="s">
        <v>966</v>
      </c>
      <c r="E59" s="201" t="s">
        <v>9</v>
      </c>
      <c r="F59" s="201" t="s">
        <v>504</v>
      </c>
      <c r="G59" s="201" t="s">
        <v>249</v>
      </c>
      <c r="H59" s="85">
        <f>COUNTIFS(pardazesh!$W$5:$X$41,D59)</f>
        <v>0</v>
      </c>
      <c r="I59" s="91" t="s">
        <v>3</v>
      </c>
      <c r="J59" s="92" t="str">
        <f t="shared" si="4"/>
        <v xml:space="preserve"> </v>
      </c>
      <c r="K59" s="93" t="str">
        <f t="shared" si="3"/>
        <v/>
      </c>
      <c r="N59" s="92" t="str">
        <f t="shared" si="5"/>
        <v xml:space="preserve"> </v>
      </c>
      <c r="O59" s="93" t="str">
        <f t="shared" si="6"/>
        <v/>
      </c>
    </row>
    <row r="60" spans="1:15" s="85" customFormat="1" ht="12" customHeight="1" x14ac:dyDescent="0.2">
      <c r="A60" s="201" t="s">
        <v>627</v>
      </c>
      <c r="B60" s="202"/>
      <c r="C60" s="202"/>
      <c r="D60" s="206">
        <v>11111</v>
      </c>
      <c r="E60" s="198"/>
      <c r="F60" s="198"/>
      <c r="G60" s="201"/>
      <c r="H60" s="85">
        <f>COUNTIFS(pardazesh!$W$5:$X$41,D60)</f>
        <v>0</v>
      </c>
      <c r="I60" s="91"/>
      <c r="J60" s="92" t="str">
        <f t="shared" si="4"/>
        <v xml:space="preserve"> </v>
      </c>
      <c r="K60" s="93">
        <f t="shared" si="3"/>
        <v>0</v>
      </c>
      <c r="N60" s="92" t="str">
        <f t="shared" si="5"/>
        <v xml:space="preserve"> </v>
      </c>
      <c r="O60" s="93" t="str">
        <f t="shared" si="6"/>
        <v/>
      </c>
    </row>
    <row r="61" spans="1:15" s="85" customFormat="1" ht="12" customHeight="1" x14ac:dyDescent="0.2">
      <c r="A61" s="201" t="s">
        <v>628</v>
      </c>
      <c r="B61" s="202"/>
      <c r="C61" s="202"/>
      <c r="D61" s="206">
        <v>11111</v>
      </c>
      <c r="E61" s="201" t="s">
        <v>9</v>
      </c>
      <c r="F61" s="201" t="s">
        <v>504</v>
      </c>
      <c r="G61" s="201" t="s">
        <v>249</v>
      </c>
      <c r="H61" s="85">
        <f>COUNTIFS(pardazesh!$W$5:$X$41,D61)</f>
        <v>0</v>
      </c>
      <c r="I61" s="91" t="s">
        <v>3</v>
      </c>
      <c r="J61" s="92" t="str">
        <f t="shared" si="4"/>
        <v xml:space="preserve"> </v>
      </c>
      <c r="K61" s="93" t="str">
        <f t="shared" si="3"/>
        <v/>
      </c>
      <c r="N61" s="92" t="str">
        <f t="shared" si="5"/>
        <v xml:space="preserve"> </v>
      </c>
      <c r="O61" s="93" t="str">
        <f t="shared" si="6"/>
        <v/>
      </c>
    </row>
    <row r="62" spans="1:15" s="85" customFormat="1" ht="12" customHeight="1" x14ac:dyDescent="0.2">
      <c r="A62" s="198" t="s">
        <v>629</v>
      </c>
      <c r="B62" s="202" t="s">
        <v>204</v>
      </c>
      <c r="C62" s="202" t="s">
        <v>205</v>
      </c>
      <c r="D62" s="206">
        <v>72928</v>
      </c>
      <c r="E62" s="201" t="s">
        <v>9</v>
      </c>
      <c r="F62" s="201" t="s">
        <v>504</v>
      </c>
      <c r="G62" s="201" t="s">
        <v>249</v>
      </c>
      <c r="H62" s="85">
        <f>COUNTIFS(pardazesh!$W$5:$X$41,D62)</f>
        <v>0</v>
      </c>
      <c r="I62" s="91"/>
      <c r="J62" s="92" t="str">
        <f t="shared" si="4"/>
        <v>زرودي حامد</v>
      </c>
      <c r="K62" s="93" t="str">
        <f t="shared" si="3"/>
        <v>B</v>
      </c>
      <c r="N62" s="92" t="str">
        <f t="shared" si="5"/>
        <v xml:space="preserve"> </v>
      </c>
      <c r="O62" s="93" t="str">
        <f t="shared" si="6"/>
        <v/>
      </c>
    </row>
    <row r="63" spans="1:15" s="85" customFormat="1" ht="12" customHeight="1" x14ac:dyDescent="0.2">
      <c r="A63" s="201" t="s">
        <v>631</v>
      </c>
      <c r="B63" s="202" t="s">
        <v>81</v>
      </c>
      <c r="C63" s="202" t="s">
        <v>236</v>
      </c>
      <c r="D63" s="206" t="s">
        <v>640</v>
      </c>
      <c r="E63" s="201" t="s">
        <v>9</v>
      </c>
      <c r="F63" s="201" t="s">
        <v>504</v>
      </c>
      <c r="G63" s="201" t="s">
        <v>249</v>
      </c>
      <c r="H63" s="85">
        <f>COUNTIFS(pardazesh!$W$5:$X$41,D63)</f>
        <v>0</v>
      </c>
      <c r="I63" s="91"/>
      <c r="J63" s="92" t="str">
        <f t="shared" si="4"/>
        <v>حقگو رامين</v>
      </c>
      <c r="K63" s="93" t="str">
        <f t="shared" si="3"/>
        <v>B</v>
      </c>
      <c r="N63" s="92" t="str">
        <f t="shared" si="5"/>
        <v xml:space="preserve"> </v>
      </c>
      <c r="O63" s="93" t="str">
        <f t="shared" si="6"/>
        <v/>
      </c>
    </row>
    <row r="64" spans="1:15" s="85" customFormat="1" ht="12" customHeight="1" x14ac:dyDescent="0.2">
      <c r="A64" s="198" t="s">
        <v>633</v>
      </c>
      <c r="B64" s="202" t="s">
        <v>65</v>
      </c>
      <c r="C64" s="202" t="s">
        <v>66</v>
      </c>
      <c r="D64" s="206" t="s">
        <v>592</v>
      </c>
      <c r="E64" s="198" t="s">
        <v>9</v>
      </c>
      <c r="F64" s="198" t="s">
        <v>504</v>
      </c>
      <c r="G64" s="201" t="s">
        <v>249</v>
      </c>
      <c r="H64" s="85">
        <f>COUNTIFS(pardazesh!$W$5:$X$41,D64)</f>
        <v>0</v>
      </c>
      <c r="I64" s="91"/>
      <c r="J64" s="92" t="str">
        <f t="shared" si="4"/>
        <v>سلطانيان محمود</v>
      </c>
      <c r="K64" s="93" t="str">
        <f t="shared" si="3"/>
        <v>B</v>
      </c>
      <c r="N64" s="92" t="str">
        <f t="shared" si="5"/>
        <v xml:space="preserve"> </v>
      </c>
      <c r="O64" s="93" t="str">
        <f t="shared" si="6"/>
        <v/>
      </c>
    </row>
    <row r="65" spans="1:15" s="85" customFormat="1" ht="12" customHeight="1" x14ac:dyDescent="0.2">
      <c r="A65" s="201" t="s">
        <v>634</v>
      </c>
      <c r="B65" s="202" t="s">
        <v>119</v>
      </c>
      <c r="C65" s="202" t="s">
        <v>99</v>
      </c>
      <c r="D65" s="206" t="s">
        <v>594</v>
      </c>
      <c r="E65" s="201" t="s">
        <v>9</v>
      </c>
      <c r="F65" s="201" t="s">
        <v>504</v>
      </c>
      <c r="G65" s="201" t="s">
        <v>249</v>
      </c>
      <c r="H65" s="85">
        <f>COUNTIFS(pardazesh!$W$5:$X$41,D65)</f>
        <v>0</v>
      </c>
      <c r="I65" s="91"/>
      <c r="J65" s="92" t="str">
        <f t="shared" si="4"/>
        <v>شادمان محمدرضا</v>
      </c>
      <c r="K65" s="93" t="str">
        <f t="shared" si="3"/>
        <v>B</v>
      </c>
      <c r="N65" s="92" t="str">
        <f t="shared" si="5"/>
        <v xml:space="preserve"> </v>
      </c>
      <c r="O65" s="93" t="str">
        <f t="shared" si="6"/>
        <v/>
      </c>
    </row>
    <row r="66" spans="1:15" s="85" customFormat="1" ht="12" customHeight="1" x14ac:dyDescent="0.2">
      <c r="A66" s="201" t="s">
        <v>635</v>
      </c>
      <c r="B66" s="202" t="s">
        <v>955</v>
      </c>
      <c r="C66" s="202" t="s">
        <v>973</v>
      </c>
      <c r="D66" s="205" t="s">
        <v>974</v>
      </c>
      <c r="E66" s="201" t="s">
        <v>9</v>
      </c>
      <c r="F66" s="201" t="s">
        <v>504</v>
      </c>
      <c r="G66" s="201" t="s">
        <v>249</v>
      </c>
      <c r="H66" s="85">
        <f>COUNTIFS(pardazesh!$W$5:$X$41,D66)</f>
        <v>0</v>
      </c>
      <c r="I66" s="91"/>
      <c r="J66" s="92" t="str">
        <f t="shared" si="4"/>
        <v>سعادتي محمد علي</v>
      </c>
      <c r="K66" s="93" t="str">
        <f t="shared" si="3"/>
        <v>B</v>
      </c>
      <c r="N66" s="92" t="str">
        <f t="shared" si="5"/>
        <v xml:space="preserve"> </v>
      </c>
      <c r="O66" s="93" t="str">
        <f t="shared" si="6"/>
        <v/>
      </c>
    </row>
    <row r="67" spans="1:15" s="85" customFormat="1" ht="12" customHeight="1" x14ac:dyDescent="0.2">
      <c r="A67" s="198" t="s">
        <v>637</v>
      </c>
      <c r="B67" s="202" t="s">
        <v>62</v>
      </c>
      <c r="C67" s="202" t="s">
        <v>971</v>
      </c>
      <c r="D67" s="205" t="s">
        <v>972</v>
      </c>
      <c r="E67" s="198" t="s">
        <v>9</v>
      </c>
      <c r="F67" s="198" t="s">
        <v>504</v>
      </c>
      <c r="G67" s="201" t="s">
        <v>249</v>
      </c>
      <c r="H67" s="85">
        <f>COUNTIFS(pardazesh!$W$5:$X$41,D67)</f>
        <v>0</v>
      </c>
      <c r="I67" s="91" t="s">
        <v>3</v>
      </c>
      <c r="J67" s="92" t="str">
        <f t="shared" ref="J67:J98" si="7">IF(AND(H67=0,I67&lt;&gt;"T"),C67,"")&amp;" "&amp;IF(AND(H67=0,I67&lt;&gt;"T"),B67,"")</f>
        <v xml:space="preserve"> </v>
      </c>
      <c r="K67" s="93" t="str">
        <f t="shared" si="3"/>
        <v/>
      </c>
      <c r="N67" s="92" t="str">
        <f t="shared" ref="N67:N98" si="8">IF(H67&lt;&gt;0,C67,"")&amp;" "&amp;IF(H67&lt;&gt;0,B67,"")</f>
        <v xml:space="preserve"> </v>
      </c>
      <c r="O67" s="93" t="str">
        <f t="shared" ref="O67:O98" si="9">IF(H67&lt;&gt;0,G67,"")</f>
        <v/>
      </c>
    </row>
    <row r="68" spans="1:15" s="85" customFormat="1" ht="12" customHeight="1" x14ac:dyDescent="0.2">
      <c r="A68" s="215" t="s">
        <v>639</v>
      </c>
      <c r="B68" s="202" t="s">
        <v>1603</v>
      </c>
      <c r="C68" s="202" t="s">
        <v>1604</v>
      </c>
      <c r="D68" s="206">
        <v>98522</v>
      </c>
      <c r="E68" s="216" t="s">
        <v>9</v>
      </c>
      <c r="F68" s="216" t="s">
        <v>504</v>
      </c>
      <c r="G68" s="215" t="s">
        <v>249</v>
      </c>
      <c r="H68" s="85">
        <f>COUNTIFS(pardazesh!$W$5:$X$41,D68)</f>
        <v>0</v>
      </c>
      <c r="I68" s="238"/>
      <c r="J68" s="92" t="str">
        <f t="shared" si="7"/>
        <v>چايچي نصرتي شهرام</v>
      </c>
      <c r="K68" s="93" t="str">
        <f t="shared" ref="K68:K86" si="10">IF(AND(H68=0,I68&lt;&gt;"T"),G68,"")</f>
        <v>B</v>
      </c>
      <c r="N68" s="92" t="str">
        <f t="shared" si="8"/>
        <v xml:space="preserve"> </v>
      </c>
      <c r="O68" s="93" t="str">
        <f t="shared" si="9"/>
        <v/>
      </c>
    </row>
    <row r="69" spans="1:15" s="85" customFormat="1" ht="12" customHeight="1" x14ac:dyDescent="0.2">
      <c r="A69" s="198" t="s">
        <v>641</v>
      </c>
      <c r="B69" s="202"/>
      <c r="C69" s="202"/>
      <c r="D69" s="205">
        <v>11111</v>
      </c>
      <c r="E69" s="201"/>
      <c r="F69" s="201"/>
      <c r="G69" s="201"/>
      <c r="H69" s="85">
        <f>COUNTIFS(pardazesh!$W$5:$X$41,D69)</f>
        <v>0</v>
      </c>
      <c r="I69" s="91" t="s">
        <v>3</v>
      </c>
      <c r="J69" s="92" t="str">
        <f t="shared" si="7"/>
        <v xml:space="preserve"> </v>
      </c>
      <c r="K69" s="93" t="str">
        <f t="shared" si="10"/>
        <v/>
      </c>
      <c r="N69" s="92" t="str">
        <f t="shared" si="8"/>
        <v xml:space="preserve"> </v>
      </c>
      <c r="O69" s="93" t="str">
        <f t="shared" si="9"/>
        <v/>
      </c>
    </row>
    <row r="70" spans="1:15" s="85" customFormat="1" ht="12" customHeight="1" x14ac:dyDescent="0.2">
      <c r="A70" s="201" t="s">
        <v>643</v>
      </c>
      <c r="B70" s="202" t="s">
        <v>73</v>
      </c>
      <c r="C70" s="202" t="s">
        <v>599</v>
      </c>
      <c r="D70" s="206" t="s">
        <v>600</v>
      </c>
      <c r="E70" s="198" t="s">
        <v>9</v>
      </c>
      <c r="F70" s="198" t="s">
        <v>504</v>
      </c>
      <c r="G70" s="201" t="s">
        <v>249</v>
      </c>
      <c r="H70" s="85">
        <f>COUNTIFS(pardazesh!$W$5:$X$41,D70)</f>
        <v>0</v>
      </c>
      <c r="I70" s="91"/>
      <c r="J70" s="92" t="str">
        <f t="shared" si="7"/>
        <v>فتحي رودسري علي</v>
      </c>
      <c r="K70" s="93" t="str">
        <f t="shared" si="10"/>
        <v>B</v>
      </c>
      <c r="N70" s="92" t="str">
        <f t="shared" si="8"/>
        <v xml:space="preserve"> </v>
      </c>
      <c r="O70" s="93" t="str">
        <f t="shared" si="9"/>
        <v/>
      </c>
    </row>
    <row r="71" spans="1:15" s="85" customFormat="1" ht="12" customHeight="1" x14ac:dyDescent="0.2">
      <c r="A71" s="201" t="s">
        <v>645</v>
      </c>
      <c r="B71" s="202" t="s">
        <v>221</v>
      </c>
      <c r="C71" s="202" t="s">
        <v>222</v>
      </c>
      <c r="D71" s="205" t="s">
        <v>672</v>
      </c>
      <c r="E71" s="201" t="s">
        <v>9</v>
      </c>
      <c r="F71" s="201" t="s">
        <v>504</v>
      </c>
      <c r="G71" s="201" t="s">
        <v>249</v>
      </c>
      <c r="H71" s="85">
        <f>COUNTIFS(pardazesh!$W$5:$X$41,D71)</f>
        <v>0</v>
      </c>
      <c r="I71" s="91"/>
      <c r="J71" s="92" t="str">
        <f t="shared" si="7"/>
        <v>مهدي زاده صالح</v>
      </c>
      <c r="K71" s="93" t="str">
        <f t="shared" si="10"/>
        <v>B</v>
      </c>
      <c r="N71" s="92" t="str">
        <f t="shared" si="8"/>
        <v xml:space="preserve"> </v>
      </c>
      <c r="O71" s="93" t="str">
        <f t="shared" si="9"/>
        <v/>
      </c>
    </row>
    <row r="72" spans="1:15" s="85" customFormat="1" ht="12" customHeight="1" x14ac:dyDescent="0.2">
      <c r="A72" s="198" t="s">
        <v>647</v>
      </c>
      <c r="B72" s="202" t="s">
        <v>101</v>
      </c>
      <c r="C72" s="202" t="s">
        <v>1612</v>
      </c>
      <c r="D72" s="206" t="s">
        <v>603</v>
      </c>
      <c r="E72" s="198" t="s">
        <v>9</v>
      </c>
      <c r="F72" s="198" t="s">
        <v>504</v>
      </c>
      <c r="G72" s="201" t="s">
        <v>249</v>
      </c>
      <c r="H72" s="85">
        <f>COUNTIFS(pardazesh!$W$5:$X$41,D72)</f>
        <v>0</v>
      </c>
      <c r="I72" s="91"/>
      <c r="J72" s="92" t="str">
        <f t="shared" si="7"/>
        <v>قاسم لو رضا</v>
      </c>
      <c r="K72" s="93" t="str">
        <f t="shared" si="10"/>
        <v>B</v>
      </c>
      <c r="N72" s="92" t="str">
        <f t="shared" si="8"/>
        <v xml:space="preserve"> </v>
      </c>
      <c r="O72" s="93" t="str">
        <f t="shared" si="9"/>
        <v/>
      </c>
    </row>
    <row r="73" spans="1:15" s="85" customFormat="1" ht="12" customHeight="1" x14ac:dyDescent="0.2">
      <c r="A73" s="201" t="s">
        <v>648</v>
      </c>
      <c r="B73" s="202"/>
      <c r="C73" s="202"/>
      <c r="D73" s="205">
        <v>11111</v>
      </c>
      <c r="E73" s="201"/>
      <c r="F73" s="201"/>
      <c r="G73" s="201"/>
      <c r="H73" s="85">
        <f>COUNTIFS(pardazesh!$W$5:$X$41,D73)</f>
        <v>0</v>
      </c>
      <c r="I73" s="91" t="s">
        <v>3</v>
      </c>
      <c r="J73" s="92" t="str">
        <f t="shared" si="7"/>
        <v xml:space="preserve"> </v>
      </c>
      <c r="K73" s="93" t="str">
        <f t="shared" si="10"/>
        <v/>
      </c>
      <c r="N73" s="92" t="str">
        <f t="shared" si="8"/>
        <v xml:space="preserve"> </v>
      </c>
      <c r="O73" s="93" t="str">
        <f t="shared" si="9"/>
        <v/>
      </c>
    </row>
    <row r="74" spans="1:15" s="85" customFormat="1" ht="12" customHeight="1" x14ac:dyDescent="0.2">
      <c r="A74" s="198" t="s">
        <v>693</v>
      </c>
      <c r="B74" s="202" t="s">
        <v>101</v>
      </c>
      <c r="C74" s="202" t="s">
        <v>203</v>
      </c>
      <c r="D74" s="205">
        <v>99837</v>
      </c>
      <c r="E74" s="201" t="s">
        <v>9</v>
      </c>
      <c r="F74" s="201" t="s">
        <v>504</v>
      </c>
      <c r="G74" s="201" t="s">
        <v>249</v>
      </c>
      <c r="H74" s="85">
        <f>COUNTIFS(pardazesh!$W$5:$X$41,D74)</f>
        <v>0</v>
      </c>
      <c r="I74" s="91"/>
      <c r="J74" s="92" t="str">
        <f t="shared" si="7"/>
        <v>فهيم زاده رضا</v>
      </c>
      <c r="K74" s="93" t="str">
        <f t="shared" si="10"/>
        <v>B</v>
      </c>
      <c r="N74" s="92" t="str">
        <f t="shared" si="8"/>
        <v xml:space="preserve"> </v>
      </c>
      <c r="O74" s="93" t="str">
        <f t="shared" si="9"/>
        <v/>
      </c>
    </row>
    <row r="75" spans="1:15" s="85" customFormat="1" ht="12" customHeight="1" x14ac:dyDescent="0.2">
      <c r="A75" s="201" t="s">
        <v>650</v>
      </c>
      <c r="B75" s="202"/>
      <c r="C75" s="202"/>
      <c r="D75" s="206">
        <v>1111</v>
      </c>
      <c r="E75" s="198" t="s">
        <v>9</v>
      </c>
      <c r="F75" s="198" t="s">
        <v>504</v>
      </c>
      <c r="G75" s="201" t="s">
        <v>249</v>
      </c>
      <c r="H75" s="85">
        <f>COUNTIFS(pardazesh!$W$5:$X$41,D75)</f>
        <v>0</v>
      </c>
      <c r="I75" s="91" t="s">
        <v>1618</v>
      </c>
      <c r="J75" s="92" t="str">
        <f t="shared" si="7"/>
        <v xml:space="preserve"> </v>
      </c>
      <c r="K75" s="93" t="str">
        <f t="shared" si="10"/>
        <v/>
      </c>
      <c r="N75" s="92" t="str">
        <f t="shared" si="8"/>
        <v xml:space="preserve"> </v>
      </c>
      <c r="O75" s="93" t="str">
        <f t="shared" si="9"/>
        <v/>
      </c>
    </row>
    <row r="76" spans="1:15" s="85" customFormat="1" ht="12" customHeight="1" x14ac:dyDescent="0.2">
      <c r="A76" s="201" t="s">
        <v>653</v>
      </c>
      <c r="B76" s="202" t="s">
        <v>71</v>
      </c>
      <c r="C76" s="202" t="s">
        <v>90</v>
      </c>
      <c r="D76" s="206" t="s">
        <v>610</v>
      </c>
      <c r="E76" s="201" t="s">
        <v>9</v>
      </c>
      <c r="F76" s="201" t="s">
        <v>504</v>
      </c>
      <c r="G76" s="201" t="s">
        <v>249</v>
      </c>
      <c r="H76" s="85">
        <f>COUNTIFS(pardazesh!$W$5:$X$41,D76)</f>
        <v>0</v>
      </c>
      <c r="I76" s="91"/>
      <c r="J76" s="92" t="str">
        <f t="shared" si="7"/>
        <v>منصوري مصطفي</v>
      </c>
      <c r="K76" s="93" t="str">
        <f t="shared" si="10"/>
        <v>B</v>
      </c>
      <c r="N76" s="92" t="str">
        <f t="shared" si="8"/>
        <v xml:space="preserve"> </v>
      </c>
      <c r="O76" s="93" t="str">
        <f t="shared" si="9"/>
        <v/>
      </c>
    </row>
    <row r="77" spans="1:15" s="85" customFormat="1" ht="12" customHeight="1" x14ac:dyDescent="0.2">
      <c r="A77" s="198" t="s">
        <v>656</v>
      </c>
      <c r="B77" s="202" t="s">
        <v>59</v>
      </c>
      <c r="C77" s="202" t="s">
        <v>613</v>
      </c>
      <c r="D77" s="206">
        <v>75453</v>
      </c>
      <c r="E77" s="198" t="s">
        <v>9</v>
      </c>
      <c r="F77" s="198" t="s">
        <v>504</v>
      </c>
      <c r="G77" s="201" t="s">
        <v>249</v>
      </c>
      <c r="H77" s="85">
        <f>COUNTIFS(pardazesh!$W$5:$X$41,D77)</f>
        <v>0</v>
      </c>
      <c r="I77" s="91"/>
      <c r="J77" s="92" t="str">
        <f t="shared" si="7"/>
        <v>مولائي حسين</v>
      </c>
      <c r="K77" s="93" t="str">
        <f t="shared" si="10"/>
        <v>B</v>
      </c>
      <c r="N77" s="92" t="str">
        <f t="shared" si="8"/>
        <v xml:space="preserve"> </v>
      </c>
      <c r="O77" s="93" t="str">
        <f t="shared" si="9"/>
        <v/>
      </c>
    </row>
    <row r="78" spans="1:15" s="85" customFormat="1" ht="12" customHeight="1" x14ac:dyDescent="0.2">
      <c r="A78" s="201" t="s">
        <v>658</v>
      </c>
      <c r="B78" s="202" t="s">
        <v>78</v>
      </c>
      <c r="C78" s="202" t="s">
        <v>79</v>
      </c>
      <c r="D78" s="206">
        <v>99276</v>
      </c>
      <c r="E78" s="201" t="s">
        <v>9</v>
      </c>
      <c r="F78" s="201" t="s">
        <v>504</v>
      </c>
      <c r="G78" s="201" t="s">
        <v>249</v>
      </c>
      <c r="H78" s="85">
        <f>COUNTIFS(pardazesh!$W$5:$X$41,D78)</f>
        <v>0</v>
      </c>
      <c r="I78" s="91"/>
      <c r="J78" s="92" t="str">
        <f t="shared" si="7"/>
        <v>مهري لاسكي مهرداد</v>
      </c>
      <c r="K78" s="93" t="str">
        <f t="shared" si="10"/>
        <v>B</v>
      </c>
      <c r="N78" s="92" t="str">
        <f t="shared" si="8"/>
        <v xml:space="preserve"> </v>
      </c>
      <c r="O78" s="93" t="str">
        <f t="shared" si="9"/>
        <v/>
      </c>
    </row>
    <row r="79" spans="1:15" s="85" customFormat="1" ht="12" customHeight="1" x14ac:dyDescent="0.2">
      <c r="A79" s="198" t="s">
        <v>660</v>
      </c>
      <c r="B79" s="202" t="s">
        <v>104</v>
      </c>
      <c r="C79" s="202" t="s">
        <v>105</v>
      </c>
      <c r="D79" s="206" t="s">
        <v>615</v>
      </c>
      <c r="E79" s="198" t="s">
        <v>9</v>
      </c>
      <c r="F79" s="198" t="s">
        <v>504</v>
      </c>
      <c r="G79" s="201" t="s">
        <v>249</v>
      </c>
      <c r="H79" s="85">
        <f>COUNTIFS(pardazesh!$W$5:$X$41,D79)</f>
        <v>0</v>
      </c>
      <c r="I79" s="91"/>
      <c r="J79" s="92" t="str">
        <f t="shared" si="7"/>
        <v>ميرزائي شهاب</v>
      </c>
      <c r="K79" s="93" t="str">
        <f t="shared" si="10"/>
        <v>B</v>
      </c>
      <c r="N79" s="92" t="str">
        <f t="shared" si="8"/>
        <v xml:space="preserve"> </v>
      </c>
      <c r="O79" s="93" t="str">
        <f t="shared" si="9"/>
        <v/>
      </c>
    </row>
    <row r="80" spans="1:15" s="85" customFormat="1" ht="12" customHeight="1" x14ac:dyDescent="0.2">
      <c r="A80" s="201" t="s">
        <v>664</v>
      </c>
      <c r="B80" s="202" t="s">
        <v>62</v>
      </c>
      <c r="C80" s="202" t="s">
        <v>617</v>
      </c>
      <c r="D80" s="206" t="s">
        <v>618</v>
      </c>
      <c r="E80" s="201" t="s">
        <v>9</v>
      </c>
      <c r="F80" s="201" t="s">
        <v>504</v>
      </c>
      <c r="G80" s="201" t="s">
        <v>249</v>
      </c>
      <c r="H80" s="85">
        <f>COUNTIFS(pardazesh!$W$5:$X$41,D80)</f>
        <v>0</v>
      </c>
      <c r="I80" s="91"/>
      <c r="J80" s="92" t="str">
        <f t="shared" si="7"/>
        <v>نادري مهدي</v>
      </c>
      <c r="K80" s="93" t="str">
        <f t="shared" si="10"/>
        <v>B</v>
      </c>
      <c r="N80" s="92" t="str">
        <f t="shared" si="8"/>
        <v xml:space="preserve"> </v>
      </c>
      <c r="O80" s="93" t="str">
        <f t="shared" si="9"/>
        <v/>
      </c>
    </row>
    <row r="81" spans="1:15" s="85" customFormat="1" ht="12" customHeight="1" x14ac:dyDescent="0.2">
      <c r="A81" s="201" t="s">
        <v>665</v>
      </c>
      <c r="B81" s="202" t="s">
        <v>98</v>
      </c>
      <c r="C81" s="202" t="s">
        <v>110</v>
      </c>
      <c r="D81" s="206" t="s">
        <v>620</v>
      </c>
      <c r="E81" s="198" t="s">
        <v>9</v>
      </c>
      <c r="F81" s="198" t="s">
        <v>504</v>
      </c>
      <c r="G81" s="201" t="s">
        <v>249</v>
      </c>
      <c r="H81" s="85">
        <f>COUNTIFS(pardazesh!$W$5:$X$41,D81)</f>
        <v>0</v>
      </c>
      <c r="I81" s="91"/>
      <c r="J81" s="92" t="str">
        <f t="shared" si="7"/>
        <v>نريماني محمد رضا</v>
      </c>
      <c r="K81" s="93" t="str">
        <f t="shared" si="10"/>
        <v>B</v>
      </c>
      <c r="N81" s="92" t="str">
        <f t="shared" si="8"/>
        <v xml:space="preserve"> </v>
      </c>
      <c r="O81" s="93" t="str">
        <f t="shared" si="9"/>
        <v/>
      </c>
    </row>
    <row r="82" spans="1:15" s="85" customFormat="1" ht="12" customHeight="1" x14ac:dyDescent="0.2">
      <c r="A82" s="198" t="s">
        <v>667</v>
      </c>
      <c r="B82" s="202" t="s">
        <v>73</v>
      </c>
      <c r="C82" s="202" t="s">
        <v>1030</v>
      </c>
      <c r="D82" s="205">
        <v>99314</v>
      </c>
      <c r="E82" s="201" t="s">
        <v>9</v>
      </c>
      <c r="F82" s="201" t="s">
        <v>504</v>
      </c>
      <c r="G82" s="201" t="s">
        <v>249</v>
      </c>
      <c r="H82" s="85">
        <f>COUNTIFS(pardazesh!$W$5:$X$41,D82)</f>
        <v>0</v>
      </c>
      <c r="I82" s="91"/>
      <c r="J82" s="92" t="str">
        <f t="shared" si="7"/>
        <v>خجسته گشتي علي</v>
      </c>
      <c r="K82" s="93" t="str">
        <f t="shared" si="10"/>
        <v>B</v>
      </c>
      <c r="N82" s="92" t="str">
        <f t="shared" si="8"/>
        <v xml:space="preserve"> </v>
      </c>
      <c r="O82" s="93" t="str">
        <f t="shared" si="9"/>
        <v/>
      </c>
    </row>
    <row r="83" spans="1:15" s="85" customFormat="1" ht="12" customHeight="1" x14ac:dyDescent="0.2">
      <c r="A83" s="201" t="s">
        <v>669</v>
      </c>
      <c r="B83" s="202" t="s">
        <v>92</v>
      </c>
      <c r="C83" s="202" t="s">
        <v>93</v>
      </c>
      <c r="D83" s="206" t="s">
        <v>622</v>
      </c>
      <c r="E83" s="198" t="s">
        <v>9</v>
      </c>
      <c r="F83" s="198" t="s">
        <v>504</v>
      </c>
      <c r="G83" s="201" t="s">
        <v>249</v>
      </c>
      <c r="H83" s="85">
        <f>COUNTIFS(pardazesh!$W$5:$X$41,D83)</f>
        <v>0</v>
      </c>
      <c r="I83" s="91"/>
      <c r="J83" s="92" t="str">
        <f t="shared" si="7"/>
        <v>يزدان پناه محسن</v>
      </c>
      <c r="K83" s="93" t="str">
        <f t="shared" si="10"/>
        <v>B</v>
      </c>
      <c r="N83" s="92" t="str">
        <f t="shared" si="8"/>
        <v xml:space="preserve"> </v>
      </c>
      <c r="O83" s="93" t="str">
        <f t="shared" si="9"/>
        <v/>
      </c>
    </row>
    <row r="84" spans="1:15" s="85" customFormat="1" ht="12" customHeight="1" x14ac:dyDescent="0.2">
      <c r="A84" s="198" t="s">
        <v>671</v>
      </c>
      <c r="B84" s="202" t="s">
        <v>624</v>
      </c>
      <c r="C84" s="202" t="s">
        <v>625</v>
      </c>
      <c r="D84" s="206" t="s">
        <v>626</v>
      </c>
      <c r="E84" s="201" t="s">
        <v>9</v>
      </c>
      <c r="F84" s="201" t="s">
        <v>504</v>
      </c>
      <c r="G84" s="201" t="s">
        <v>249</v>
      </c>
      <c r="H84" s="85">
        <f>COUNTIFS(pardazesh!$W$5:$X$41,D84)</f>
        <v>0</v>
      </c>
      <c r="I84" s="91"/>
      <c r="J84" s="92" t="str">
        <f t="shared" si="7"/>
        <v>يغما علي اكبر</v>
      </c>
      <c r="K84" s="93" t="str">
        <f t="shared" si="10"/>
        <v>B</v>
      </c>
      <c r="N84" s="92" t="str">
        <f t="shared" si="8"/>
        <v xml:space="preserve"> </v>
      </c>
      <c r="O84" s="93" t="str">
        <f t="shared" si="9"/>
        <v/>
      </c>
    </row>
    <row r="85" spans="1:15" s="85" customFormat="1" ht="12" customHeight="1" x14ac:dyDescent="0.2">
      <c r="A85" s="201" t="s">
        <v>673</v>
      </c>
      <c r="B85" s="199" t="s">
        <v>969</v>
      </c>
      <c r="C85" s="199" t="s">
        <v>970</v>
      </c>
      <c r="D85" s="209">
        <v>99568</v>
      </c>
      <c r="E85" s="209" t="s">
        <v>9</v>
      </c>
      <c r="F85" s="209" t="s">
        <v>1018</v>
      </c>
      <c r="G85" s="209" t="s">
        <v>250</v>
      </c>
      <c r="H85" s="85">
        <f>COUNTIFS(pardazesh!$W$5:$X$41,D85)</f>
        <v>0</v>
      </c>
      <c r="I85" s="91" t="s">
        <v>3</v>
      </c>
      <c r="J85" s="92" t="str">
        <f t="shared" si="7"/>
        <v xml:space="preserve"> </v>
      </c>
      <c r="K85" s="93" t="str">
        <f t="shared" si="10"/>
        <v/>
      </c>
      <c r="M85" s="87"/>
      <c r="N85" s="92" t="str">
        <f t="shared" si="8"/>
        <v xml:space="preserve"> </v>
      </c>
      <c r="O85" s="93" t="str">
        <f t="shared" si="9"/>
        <v/>
      </c>
    </row>
    <row r="86" spans="1:15" s="85" customFormat="1" ht="12" customHeight="1" x14ac:dyDescent="0.2">
      <c r="A86" s="201" t="s">
        <v>675</v>
      </c>
      <c r="B86" s="199" t="s">
        <v>122</v>
      </c>
      <c r="C86" s="199" t="s">
        <v>654</v>
      </c>
      <c r="D86" s="209" t="s">
        <v>655</v>
      </c>
      <c r="E86" s="209" t="s">
        <v>9</v>
      </c>
      <c r="F86" s="209" t="s">
        <v>1018</v>
      </c>
      <c r="G86" s="209" t="s">
        <v>250</v>
      </c>
      <c r="H86" s="85">
        <f>COUNTIFS(pardazesh!$W$5:$X$41,D86)</f>
        <v>0</v>
      </c>
      <c r="I86" s="91" t="s">
        <v>3</v>
      </c>
      <c r="J86" s="92" t="str">
        <f t="shared" si="7"/>
        <v xml:space="preserve"> </v>
      </c>
      <c r="K86" s="93" t="str">
        <f t="shared" si="10"/>
        <v/>
      </c>
      <c r="N86" s="92" t="str">
        <f t="shared" si="8"/>
        <v xml:space="preserve"> </v>
      </c>
      <c r="O86" s="93" t="str">
        <f t="shared" si="9"/>
        <v/>
      </c>
    </row>
    <row r="87" spans="1:15" s="85" customFormat="1" ht="12" customHeight="1" x14ac:dyDescent="0.2">
      <c r="A87" s="198" t="s">
        <v>676</v>
      </c>
      <c r="B87" s="199" t="s">
        <v>941</v>
      </c>
      <c r="C87" s="199" t="s">
        <v>942</v>
      </c>
      <c r="D87" s="213">
        <v>79115</v>
      </c>
      <c r="E87" s="209" t="s">
        <v>9</v>
      </c>
      <c r="F87" s="209" t="s">
        <v>1018</v>
      </c>
      <c r="G87" s="209" t="s">
        <v>250</v>
      </c>
      <c r="H87" s="85">
        <f>COUNTIFS(pardazesh!$W$5:$X$41,D87)</f>
        <v>0</v>
      </c>
      <c r="I87" s="87" t="s">
        <v>3</v>
      </c>
      <c r="J87" s="92" t="str">
        <f t="shared" si="7"/>
        <v xml:space="preserve"> </v>
      </c>
      <c r="K87" s="93" t="str">
        <f t="shared" ref="K87:K123" si="11">IF(AND(H87=0,I87&lt;&gt;"T"),G87,"")</f>
        <v/>
      </c>
      <c r="N87" s="92" t="str">
        <f t="shared" si="8"/>
        <v xml:space="preserve"> </v>
      </c>
      <c r="O87" s="93" t="str">
        <f t="shared" si="9"/>
        <v/>
      </c>
    </row>
    <row r="88" spans="1:15" s="85" customFormat="1" ht="12" customHeight="1" x14ac:dyDescent="0.2">
      <c r="A88" s="201" t="s">
        <v>983</v>
      </c>
      <c r="B88" s="207" t="s">
        <v>128</v>
      </c>
      <c r="C88" s="207" t="s">
        <v>129</v>
      </c>
      <c r="D88" s="210" t="s">
        <v>649</v>
      </c>
      <c r="E88" s="209" t="s">
        <v>9</v>
      </c>
      <c r="F88" s="209" t="s">
        <v>1018</v>
      </c>
      <c r="G88" s="209" t="s">
        <v>250</v>
      </c>
      <c r="H88" s="85">
        <f>COUNTIFS(pardazesh!$W$5:$X$41,D88)</f>
        <v>0</v>
      </c>
      <c r="I88" s="91" t="s">
        <v>3</v>
      </c>
      <c r="J88" s="92" t="str">
        <f t="shared" si="7"/>
        <v xml:space="preserve"> </v>
      </c>
      <c r="K88" s="93" t="str">
        <f t="shared" si="11"/>
        <v/>
      </c>
      <c r="N88" s="92" t="str">
        <f t="shared" si="8"/>
        <v xml:space="preserve"> </v>
      </c>
      <c r="O88" s="93" t="str">
        <f t="shared" si="9"/>
        <v/>
      </c>
    </row>
    <row r="89" spans="1:15" s="85" customFormat="1" ht="12" customHeight="1" x14ac:dyDescent="0.2">
      <c r="A89" s="198" t="s">
        <v>984</v>
      </c>
      <c r="B89" s="207" t="s">
        <v>58</v>
      </c>
      <c r="C89" s="207" t="s">
        <v>1573</v>
      </c>
      <c r="D89" s="207">
        <v>99665</v>
      </c>
      <c r="E89" s="209" t="s">
        <v>9</v>
      </c>
      <c r="F89" s="209" t="s">
        <v>1018</v>
      </c>
      <c r="G89" s="209" t="s">
        <v>250</v>
      </c>
      <c r="H89" s="85">
        <f>COUNTIFS(pardazesh!$W$5:$X$41,D89)</f>
        <v>0</v>
      </c>
      <c r="I89" s="91" t="s">
        <v>3</v>
      </c>
      <c r="J89" s="92" t="str">
        <f t="shared" si="7"/>
        <v xml:space="preserve"> </v>
      </c>
      <c r="K89" s="93" t="str">
        <f t="shared" si="11"/>
        <v/>
      </c>
      <c r="N89" s="92" t="str">
        <f t="shared" si="8"/>
        <v xml:space="preserve"> </v>
      </c>
      <c r="O89" s="93" t="str">
        <f t="shared" si="9"/>
        <v/>
      </c>
    </row>
    <row r="90" spans="1:15" s="85" customFormat="1" ht="12" customHeight="1" x14ac:dyDescent="0.2">
      <c r="A90" s="201" t="s">
        <v>985</v>
      </c>
      <c r="B90" s="207" t="s">
        <v>122</v>
      </c>
      <c r="C90" s="207" t="s">
        <v>207</v>
      </c>
      <c r="D90" s="208">
        <v>99587</v>
      </c>
      <c r="E90" s="209" t="s">
        <v>9</v>
      </c>
      <c r="F90" s="209" t="s">
        <v>1018</v>
      </c>
      <c r="G90" s="209" t="s">
        <v>250</v>
      </c>
      <c r="H90" s="85">
        <f>COUNTIFS(pardazesh!$W$5:$X$41,D90)</f>
        <v>0</v>
      </c>
      <c r="I90" s="91" t="s">
        <v>3</v>
      </c>
      <c r="J90" s="92" t="str">
        <f t="shared" si="7"/>
        <v xml:space="preserve"> </v>
      </c>
      <c r="K90" s="93" t="str">
        <f t="shared" si="11"/>
        <v/>
      </c>
      <c r="N90" s="92" t="str">
        <f t="shared" si="8"/>
        <v xml:space="preserve"> </v>
      </c>
      <c r="O90" s="93" t="str">
        <f t="shared" si="9"/>
        <v/>
      </c>
    </row>
    <row r="91" spans="1:15" s="85" customFormat="1" ht="12" customHeight="1" x14ac:dyDescent="0.2">
      <c r="A91" s="201" t="s">
        <v>986</v>
      </c>
      <c r="B91" s="207" t="s">
        <v>67</v>
      </c>
      <c r="C91" s="207" t="s">
        <v>223</v>
      </c>
      <c r="D91" s="208" t="s">
        <v>646</v>
      </c>
      <c r="E91" s="209" t="s">
        <v>9</v>
      </c>
      <c r="F91" s="209" t="s">
        <v>1018</v>
      </c>
      <c r="G91" s="209" t="s">
        <v>250</v>
      </c>
      <c r="H91" s="85">
        <f>COUNTIFS(pardazesh!$W$5:$X$41,D91)</f>
        <v>0</v>
      </c>
      <c r="I91" s="91" t="s">
        <v>3</v>
      </c>
      <c r="J91" s="92" t="str">
        <f t="shared" si="7"/>
        <v xml:space="preserve"> </v>
      </c>
      <c r="K91" s="93" t="str">
        <f t="shared" si="11"/>
        <v/>
      </c>
      <c r="N91" s="92" t="str">
        <f t="shared" si="8"/>
        <v xml:space="preserve"> </v>
      </c>
      <c r="O91" s="93" t="str">
        <f t="shared" si="9"/>
        <v/>
      </c>
    </row>
    <row r="92" spans="1:15" s="85" customFormat="1" ht="12" customHeight="1" x14ac:dyDescent="0.2">
      <c r="A92" s="198" t="s">
        <v>987</v>
      </c>
      <c r="B92" s="202" t="s">
        <v>101</v>
      </c>
      <c r="C92" s="202" t="s">
        <v>229</v>
      </c>
      <c r="D92" s="205">
        <v>74721</v>
      </c>
      <c r="E92" s="201" t="s">
        <v>9</v>
      </c>
      <c r="F92" s="198" t="s">
        <v>504</v>
      </c>
      <c r="G92" s="201" t="s">
        <v>250</v>
      </c>
      <c r="H92" s="85">
        <f>COUNTIFS(pardazesh!$W$5:$X$41,D92)</f>
        <v>0</v>
      </c>
      <c r="I92" s="91"/>
      <c r="J92" s="92" t="str">
        <f t="shared" si="7"/>
        <v>ابراهيمي رضا</v>
      </c>
      <c r="K92" s="93" t="str">
        <f t="shared" si="11"/>
        <v>C</v>
      </c>
      <c r="N92" s="92" t="str">
        <f t="shared" si="8"/>
        <v xml:space="preserve"> </v>
      </c>
      <c r="O92" s="93" t="str">
        <f t="shared" si="9"/>
        <v/>
      </c>
    </row>
    <row r="93" spans="1:15" s="85" customFormat="1" ht="12" customHeight="1" x14ac:dyDescent="0.2">
      <c r="A93" s="201" t="s">
        <v>988</v>
      </c>
      <c r="B93" s="211" t="s">
        <v>60</v>
      </c>
      <c r="C93" s="211" t="s">
        <v>1024</v>
      </c>
      <c r="D93" s="211" t="s">
        <v>1025</v>
      </c>
      <c r="E93" s="201" t="s">
        <v>9</v>
      </c>
      <c r="F93" s="201" t="s">
        <v>504</v>
      </c>
      <c r="G93" s="201" t="s">
        <v>250</v>
      </c>
      <c r="H93" s="85">
        <f>COUNTIFS(pardazesh!$W$5:$X$41,D93)</f>
        <v>0</v>
      </c>
      <c r="I93" s="91" t="s">
        <v>3</v>
      </c>
      <c r="J93" s="92" t="str">
        <f t="shared" si="7"/>
        <v xml:space="preserve"> </v>
      </c>
      <c r="K93" s="93" t="str">
        <f t="shared" si="11"/>
        <v/>
      </c>
      <c r="N93" s="92" t="str">
        <f t="shared" si="8"/>
        <v xml:space="preserve"> </v>
      </c>
      <c r="O93" s="93" t="str">
        <f t="shared" si="9"/>
        <v/>
      </c>
    </row>
    <row r="94" spans="1:15" s="85" customFormat="1" ht="12" customHeight="1" x14ac:dyDescent="0.2">
      <c r="A94" s="198" t="s">
        <v>989</v>
      </c>
      <c r="B94" s="202" t="s">
        <v>61</v>
      </c>
      <c r="C94" s="202" t="s">
        <v>233</v>
      </c>
      <c r="D94" s="206">
        <v>72271</v>
      </c>
      <c r="E94" s="201" t="s">
        <v>9</v>
      </c>
      <c r="F94" s="201" t="s">
        <v>504</v>
      </c>
      <c r="G94" s="201" t="s">
        <v>250</v>
      </c>
      <c r="H94" s="85">
        <f>COUNTIFS(pardazesh!$W$5:$X$41,D94)</f>
        <v>0</v>
      </c>
      <c r="I94" s="91"/>
      <c r="J94" s="92" t="str">
        <f t="shared" si="7"/>
        <v>باقري ميثم</v>
      </c>
      <c r="K94" s="93" t="str">
        <f t="shared" si="11"/>
        <v>C</v>
      </c>
      <c r="N94" s="92" t="str">
        <f t="shared" si="8"/>
        <v xml:space="preserve"> </v>
      </c>
      <c r="O94" s="93" t="str">
        <f t="shared" si="9"/>
        <v/>
      </c>
    </row>
    <row r="95" spans="1:15" s="85" customFormat="1" ht="12" customHeight="1" x14ac:dyDescent="0.2">
      <c r="A95" s="201" t="s">
        <v>990</v>
      </c>
      <c r="B95" s="202" t="s">
        <v>78</v>
      </c>
      <c r="C95" s="202" t="s">
        <v>237</v>
      </c>
      <c r="D95" s="205" t="s">
        <v>630</v>
      </c>
      <c r="E95" s="201" t="s">
        <v>9</v>
      </c>
      <c r="F95" s="201" t="s">
        <v>504</v>
      </c>
      <c r="G95" s="201" t="s">
        <v>250</v>
      </c>
      <c r="H95" s="85">
        <f>COUNTIFS(pardazesh!$W$5:$X$41,D95)</f>
        <v>0</v>
      </c>
      <c r="I95" s="91"/>
      <c r="J95" s="92" t="str">
        <f t="shared" si="7"/>
        <v>القاصي مهرداد</v>
      </c>
      <c r="K95" s="93" t="str">
        <f t="shared" si="11"/>
        <v>C</v>
      </c>
      <c r="N95" s="92" t="str">
        <f t="shared" si="8"/>
        <v xml:space="preserve"> </v>
      </c>
      <c r="O95" s="93" t="str">
        <f t="shared" si="9"/>
        <v/>
      </c>
    </row>
    <row r="96" spans="1:15" s="85" customFormat="1" ht="12" customHeight="1" x14ac:dyDescent="0.2">
      <c r="A96" s="201" t="s">
        <v>991</v>
      </c>
      <c r="B96" s="241" t="s">
        <v>1021</v>
      </c>
      <c r="C96" s="241" t="s">
        <v>1022</v>
      </c>
      <c r="D96" s="205" t="s">
        <v>632</v>
      </c>
      <c r="E96" s="201" t="s">
        <v>9</v>
      </c>
      <c r="F96" s="201" t="s">
        <v>504</v>
      </c>
      <c r="G96" s="201" t="s">
        <v>250</v>
      </c>
      <c r="H96" s="85">
        <f>COUNTIFS(pardazesh!$W$5:$X$41,D96)</f>
        <v>0</v>
      </c>
      <c r="I96" s="91"/>
      <c r="J96" s="92" t="str">
        <f t="shared" si="7"/>
        <v>اميركياني اميرحسين</v>
      </c>
      <c r="K96" s="93" t="str">
        <f t="shared" si="11"/>
        <v>C</v>
      </c>
      <c r="N96" s="92" t="str">
        <f t="shared" si="8"/>
        <v xml:space="preserve"> </v>
      </c>
      <c r="O96" s="93" t="str">
        <f t="shared" si="9"/>
        <v/>
      </c>
    </row>
    <row r="97" spans="1:15" s="85" customFormat="1" ht="12" customHeight="1" x14ac:dyDescent="0.2">
      <c r="A97" s="198" t="s">
        <v>992</v>
      </c>
      <c r="B97" s="202" t="s">
        <v>59</v>
      </c>
      <c r="C97" s="202" t="s">
        <v>933</v>
      </c>
      <c r="D97" s="205" t="s">
        <v>949</v>
      </c>
      <c r="E97" s="201" t="s">
        <v>9</v>
      </c>
      <c r="F97" s="201" t="s">
        <v>504</v>
      </c>
      <c r="G97" s="201" t="s">
        <v>250</v>
      </c>
      <c r="H97" s="85">
        <f>COUNTIFS(pardazesh!$W$5:$X$41,D97)</f>
        <v>0</v>
      </c>
      <c r="I97" s="91"/>
      <c r="J97" s="92" t="str">
        <f t="shared" si="7"/>
        <v>صيامي حسين</v>
      </c>
      <c r="K97" s="93" t="str">
        <f t="shared" si="11"/>
        <v>C</v>
      </c>
      <c r="N97" s="92" t="str">
        <f t="shared" si="8"/>
        <v xml:space="preserve"> </v>
      </c>
      <c r="O97" s="93" t="str">
        <f t="shared" si="9"/>
        <v/>
      </c>
    </row>
    <row r="98" spans="1:15" s="85" customFormat="1" ht="12" customHeight="1" x14ac:dyDescent="0.2">
      <c r="A98" s="201" t="s">
        <v>993</v>
      </c>
      <c r="B98" s="202" t="s">
        <v>1605</v>
      </c>
      <c r="C98" s="202" t="s">
        <v>1606</v>
      </c>
      <c r="D98" s="205">
        <v>71143</v>
      </c>
      <c r="E98" s="201" t="s">
        <v>9</v>
      </c>
      <c r="F98" s="201" t="s">
        <v>504</v>
      </c>
      <c r="G98" s="201" t="s">
        <v>250</v>
      </c>
      <c r="H98" s="85">
        <f>COUNTIFS(pardazesh!$W$5:$X$41,D98)</f>
        <v>0</v>
      </c>
      <c r="I98" s="91"/>
      <c r="J98" s="92" t="str">
        <f t="shared" si="7"/>
        <v>بازگير فرشاد</v>
      </c>
      <c r="K98" s="93" t="str">
        <f t="shared" si="11"/>
        <v>C</v>
      </c>
      <c r="N98" s="92" t="str">
        <f t="shared" si="8"/>
        <v xml:space="preserve"> </v>
      </c>
      <c r="O98" s="93" t="str">
        <f t="shared" si="9"/>
        <v/>
      </c>
    </row>
    <row r="99" spans="1:15" s="85" customFormat="1" ht="12" customHeight="1" x14ac:dyDescent="0.2">
      <c r="A99" s="198" t="s">
        <v>994</v>
      </c>
      <c r="B99" s="202" t="s">
        <v>201</v>
      </c>
      <c r="C99" s="202" t="s">
        <v>202</v>
      </c>
      <c r="D99" s="205" t="s">
        <v>606</v>
      </c>
      <c r="E99" s="201" t="s">
        <v>9</v>
      </c>
      <c r="F99" s="201" t="s">
        <v>504</v>
      </c>
      <c r="G99" s="201" t="s">
        <v>250</v>
      </c>
      <c r="H99" s="85">
        <f>COUNTIFS(pardazesh!$W$5:$X$41,D99)</f>
        <v>0</v>
      </c>
      <c r="I99" s="91" t="s">
        <v>3</v>
      </c>
      <c r="J99" s="92" t="str">
        <f t="shared" ref="J99:J123" si="12">IF(AND(H99=0,I99&lt;&gt;"T"),C99,"")&amp;" "&amp;IF(AND(H99=0,I99&lt;&gt;"T"),B99,"")</f>
        <v xml:space="preserve"> </v>
      </c>
      <c r="K99" s="93" t="str">
        <f t="shared" si="11"/>
        <v/>
      </c>
      <c r="N99" s="92" t="str">
        <f t="shared" ref="N99:N124" si="13">IF(H99&lt;&gt;0,C99,"")&amp;" "&amp;IF(H99&lt;&gt;0,B99,"")</f>
        <v xml:space="preserve"> </v>
      </c>
      <c r="O99" s="93" t="str">
        <f t="shared" ref="O99:O124" si="14">IF(H99&lt;&gt;0,G99,"")</f>
        <v/>
      </c>
    </row>
    <row r="100" spans="1:15" s="85" customFormat="1" ht="12" customHeight="1" x14ac:dyDescent="0.2">
      <c r="A100" s="201" t="s">
        <v>995</v>
      </c>
      <c r="B100" s="202" t="s">
        <v>137</v>
      </c>
      <c r="C100" s="202" t="s">
        <v>138</v>
      </c>
      <c r="D100" s="205" t="s">
        <v>636</v>
      </c>
      <c r="E100" s="201" t="s">
        <v>9</v>
      </c>
      <c r="F100" s="201" t="s">
        <v>504</v>
      </c>
      <c r="G100" s="201" t="s">
        <v>250</v>
      </c>
      <c r="H100" s="85">
        <f>COUNTIFS(pardazesh!$W$5:$X$41,D100)</f>
        <v>0</v>
      </c>
      <c r="I100" s="91"/>
      <c r="J100" s="92" t="str">
        <f t="shared" si="12"/>
        <v>حسابي پيام</v>
      </c>
      <c r="K100" s="93" t="str">
        <f t="shared" si="11"/>
        <v>C</v>
      </c>
      <c r="N100" s="92" t="str">
        <f t="shared" si="13"/>
        <v xml:space="preserve"> </v>
      </c>
      <c r="O100" s="93" t="str">
        <f t="shared" si="14"/>
        <v/>
      </c>
    </row>
    <row r="101" spans="1:15" s="85" customFormat="1" ht="12" customHeight="1" x14ac:dyDescent="0.2">
      <c r="A101" s="201" t="s">
        <v>1608</v>
      </c>
      <c r="B101" s="202" t="s">
        <v>219</v>
      </c>
      <c r="C101" s="202" t="s">
        <v>138</v>
      </c>
      <c r="D101" s="205" t="s">
        <v>638</v>
      </c>
      <c r="E101" s="201" t="s">
        <v>9</v>
      </c>
      <c r="F101" s="201" t="s">
        <v>504</v>
      </c>
      <c r="G101" s="201" t="s">
        <v>250</v>
      </c>
      <c r="H101" s="85">
        <f>COUNTIFS(pardazesh!$W$5:$X$41,D101)</f>
        <v>0</v>
      </c>
      <c r="I101" s="91"/>
      <c r="J101" s="92" t="str">
        <f t="shared" si="12"/>
        <v>حسابي حسام</v>
      </c>
      <c r="K101" s="93" t="str">
        <f t="shared" si="11"/>
        <v>C</v>
      </c>
      <c r="N101" s="92" t="str">
        <f t="shared" si="13"/>
        <v xml:space="preserve"> </v>
      </c>
      <c r="O101" s="93" t="str">
        <f t="shared" si="14"/>
        <v/>
      </c>
    </row>
    <row r="102" spans="1:15" s="85" customFormat="1" ht="12" customHeight="1" x14ac:dyDescent="0.2">
      <c r="A102" s="198" t="s">
        <v>996</v>
      </c>
      <c r="B102" s="202" t="s">
        <v>58</v>
      </c>
      <c r="C102" s="202" t="s">
        <v>1607</v>
      </c>
      <c r="D102" s="206">
        <v>99885</v>
      </c>
      <c r="E102" s="215" t="s">
        <v>9</v>
      </c>
      <c r="F102" s="215" t="s">
        <v>504</v>
      </c>
      <c r="G102" s="215" t="s">
        <v>250</v>
      </c>
      <c r="H102" s="85">
        <f>COUNTIFS(pardazesh!$W$5:$X$41,D102)</f>
        <v>0</v>
      </c>
      <c r="I102" s="238" t="s">
        <v>1618</v>
      </c>
      <c r="J102" s="92" t="str">
        <f t="shared" si="12"/>
        <v xml:space="preserve"> </v>
      </c>
      <c r="K102" s="93" t="str">
        <f t="shared" si="11"/>
        <v/>
      </c>
      <c r="N102" s="92" t="str">
        <f t="shared" si="13"/>
        <v xml:space="preserve"> </v>
      </c>
      <c r="O102" s="93" t="str">
        <f t="shared" si="14"/>
        <v/>
      </c>
    </row>
    <row r="103" spans="1:15" s="85" customFormat="1" ht="12" customHeight="1" x14ac:dyDescent="0.2">
      <c r="A103" s="201" t="s">
        <v>997</v>
      </c>
      <c r="B103" s="202" t="s">
        <v>65</v>
      </c>
      <c r="C103" s="202" t="s">
        <v>240</v>
      </c>
      <c r="D103" s="205" t="s">
        <v>642</v>
      </c>
      <c r="E103" s="201" t="s">
        <v>9</v>
      </c>
      <c r="F103" s="201" t="s">
        <v>504</v>
      </c>
      <c r="G103" s="201" t="s">
        <v>250</v>
      </c>
      <c r="H103" s="85">
        <f>COUNTIFS(pardazesh!$W$5:$X$41,D103)</f>
        <v>0</v>
      </c>
      <c r="I103" s="91"/>
      <c r="J103" s="92" t="str">
        <f t="shared" si="12"/>
        <v>حيدري مجره محمود</v>
      </c>
      <c r="K103" s="93" t="str">
        <f t="shared" si="11"/>
        <v>C</v>
      </c>
      <c r="N103" s="92" t="str">
        <f t="shared" si="13"/>
        <v xml:space="preserve"> </v>
      </c>
      <c r="O103" s="93" t="str">
        <f t="shared" si="14"/>
        <v/>
      </c>
    </row>
    <row r="104" spans="1:15" s="85" customFormat="1" ht="12" customHeight="1" x14ac:dyDescent="0.2">
      <c r="A104" s="198" t="s">
        <v>998</v>
      </c>
      <c r="B104" s="202" t="s">
        <v>119</v>
      </c>
      <c r="C104" s="202" t="s">
        <v>143</v>
      </c>
      <c r="D104" s="205" t="s">
        <v>644</v>
      </c>
      <c r="E104" s="201" t="s">
        <v>9</v>
      </c>
      <c r="F104" s="201" t="s">
        <v>504</v>
      </c>
      <c r="G104" s="201" t="s">
        <v>250</v>
      </c>
      <c r="H104" s="85">
        <f>COUNTIFS(pardazesh!$W$5:$X$41,D104)</f>
        <v>0</v>
      </c>
      <c r="I104" s="91"/>
      <c r="J104" s="92" t="str">
        <f t="shared" si="12"/>
        <v>رحمتي نژاد محمدرضا</v>
      </c>
      <c r="K104" s="93" t="str">
        <f t="shared" si="11"/>
        <v>C</v>
      </c>
      <c r="N104" s="92" t="str">
        <f t="shared" si="13"/>
        <v xml:space="preserve"> </v>
      </c>
      <c r="O104" s="93" t="str">
        <f t="shared" si="14"/>
        <v/>
      </c>
    </row>
    <row r="105" spans="1:15" s="85" customFormat="1" ht="12" customHeight="1" x14ac:dyDescent="0.2">
      <c r="A105" s="201" t="s">
        <v>999</v>
      </c>
      <c r="B105" s="241" t="s">
        <v>940</v>
      </c>
      <c r="C105" s="241" t="s">
        <v>1570</v>
      </c>
      <c r="D105" s="206">
        <v>79136</v>
      </c>
      <c r="E105" s="201" t="s">
        <v>9</v>
      </c>
      <c r="F105" s="201" t="s">
        <v>504</v>
      </c>
      <c r="G105" s="201" t="s">
        <v>250</v>
      </c>
      <c r="H105" s="85">
        <f>COUNTIFS(pardazesh!$W$5:$X$41,D105)</f>
        <v>0</v>
      </c>
      <c r="I105" s="91"/>
      <c r="J105" s="92" t="str">
        <f t="shared" si="12"/>
        <v>روحي پور ميكال اسحق</v>
      </c>
      <c r="K105" s="93" t="str">
        <f t="shared" si="11"/>
        <v>C</v>
      </c>
      <c r="N105" s="92" t="str">
        <f t="shared" si="13"/>
        <v xml:space="preserve"> </v>
      </c>
      <c r="O105" s="93" t="str">
        <f t="shared" si="14"/>
        <v/>
      </c>
    </row>
    <row r="106" spans="1:15" s="85" customFormat="1" ht="12" customHeight="1" x14ac:dyDescent="0.2">
      <c r="A106" s="201" t="s">
        <v>1000</v>
      </c>
      <c r="B106" s="202" t="s">
        <v>101</v>
      </c>
      <c r="C106" s="202" t="s">
        <v>1568</v>
      </c>
      <c r="D106" s="205">
        <v>99231</v>
      </c>
      <c r="E106" s="201" t="s">
        <v>9</v>
      </c>
      <c r="F106" s="201" t="s">
        <v>504</v>
      </c>
      <c r="G106" s="201" t="s">
        <v>250</v>
      </c>
      <c r="H106" s="85">
        <f>COUNTIFS(pardazesh!$W$5:$X$41,D106)</f>
        <v>0</v>
      </c>
      <c r="I106" s="91"/>
      <c r="J106" s="92" t="str">
        <f t="shared" si="12"/>
        <v>جليلوند رضا</v>
      </c>
      <c r="K106" s="93" t="str">
        <f t="shared" si="11"/>
        <v>C</v>
      </c>
      <c r="N106" s="92" t="str">
        <f t="shared" si="13"/>
        <v xml:space="preserve"> </v>
      </c>
      <c r="O106" s="93" t="str">
        <f t="shared" si="14"/>
        <v/>
      </c>
    </row>
    <row r="107" spans="1:15" s="85" customFormat="1" ht="12" customHeight="1" x14ac:dyDescent="0.2">
      <c r="A107" s="198" t="s">
        <v>1001</v>
      </c>
      <c r="B107" s="202" t="s">
        <v>975</v>
      </c>
      <c r="C107" s="202" t="s">
        <v>976</v>
      </c>
      <c r="D107" s="205" t="s">
        <v>977</v>
      </c>
      <c r="E107" s="201" t="s">
        <v>9</v>
      </c>
      <c r="F107" s="201" t="s">
        <v>504</v>
      </c>
      <c r="G107" s="201" t="s">
        <v>250</v>
      </c>
      <c r="H107" s="85">
        <f>COUNTIFS(pardazesh!$W$5:$X$41,D107)</f>
        <v>0</v>
      </c>
      <c r="I107" s="91" t="s">
        <v>3</v>
      </c>
      <c r="J107" s="92" t="str">
        <f t="shared" si="12"/>
        <v xml:space="preserve"> </v>
      </c>
      <c r="K107" s="93" t="str">
        <f t="shared" si="11"/>
        <v/>
      </c>
      <c r="N107" s="92" t="str">
        <f t="shared" si="13"/>
        <v xml:space="preserve"> </v>
      </c>
      <c r="O107" s="93" t="str">
        <f t="shared" si="14"/>
        <v/>
      </c>
    </row>
    <row r="108" spans="1:15" s="85" customFormat="1" ht="12" customHeight="1" x14ac:dyDescent="0.2">
      <c r="A108" s="201" t="s">
        <v>1002</v>
      </c>
      <c r="B108" s="241" t="s">
        <v>62</v>
      </c>
      <c r="C108" s="241" t="s">
        <v>1611</v>
      </c>
      <c r="D108" s="205">
        <v>76546</v>
      </c>
      <c r="E108" s="201" t="s">
        <v>9</v>
      </c>
      <c r="F108" s="201" t="s">
        <v>504</v>
      </c>
      <c r="G108" s="201" t="s">
        <v>250</v>
      </c>
      <c r="H108" s="85">
        <f>COUNTIFS(pardazesh!$W$5:$X$41,D108)</f>
        <v>0</v>
      </c>
      <c r="I108" s="91"/>
      <c r="J108" s="92" t="str">
        <f t="shared" si="12"/>
        <v>حاجي پورسرابي مهدي</v>
      </c>
      <c r="K108" s="93" t="str">
        <f t="shared" si="11"/>
        <v>C</v>
      </c>
      <c r="N108" s="92" t="str">
        <f t="shared" si="13"/>
        <v xml:space="preserve"> </v>
      </c>
      <c r="O108" s="93" t="str">
        <f t="shared" si="14"/>
        <v/>
      </c>
    </row>
    <row r="109" spans="1:15" s="85" customFormat="1" ht="12" customHeight="1" x14ac:dyDescent="0.2">
      <c r="A109" s="198" t="s">
        <v>1003</v>
      </c>
      <c r="B109" s="202" t="s">
        <v>73</v>
      </c>
      <c r="C109" s="202" t="s">
        <v>651</v>
      </c>
      <c r="D109" s="205" t="s">
        <v>652</v>
      </c>
      <c r="E109" s="201" t="s">
        <v>9</v>
      </c>
      <c r="F109" s="201" t="s">
        <v>504</v>
      </c>
      <c r="G109" s="201" t="s">
        <v>250</v>
      </c>
      <c r="H109" s="85">
        <f>COUNTIFS(pardazesh!$W$5:$X$41,D109)</f>
        <v>0</v>
      </c>
      <c r="I109" s="91"/>
      <c r="J109" s="92" t="str">
        <f t="shared" si="12"/>
        <v>شعباني علي</v>
      </c>
      <c r="K109" s="93" t="str">
        <f t="shared" si="11"/>
        <v>C</v>
      </c>
      <c r="N109" s="92" t="str">
        <f t="shared" si="13"/>
        <v xml:space="preserve"> </v>
      </c>
      <c r="O109" s="93" t="str">
        <f t="shared" si="14"/>
        <v/>
      </c>
    </row>
    <row r="110" spans="1:15" s="85" customFormat="1" ht="12" customHeight="1" x14ac:dyDescent="0.2">
      <c r="A110" s="201" t="s">
        <v>1004</v>
      </c>
      <c r="B110" s="202" t="s">
        <v>67</v>
      </c>
      <c r="C110" s="202" t="s">
        <v>145</v>
      </c>
      <c r="D110" s="205" t="s">
        <v>557</v>
      </c>
      <c r="E110" s="201" t="s">
        <v>9</v>
      </c>
      <c r="F110" s="201" t="s">
        <v>504</v>
      </c>
      <c r="G110" s="201" t="s">
        <v>250</v>
      </c>
      <c r="H110" s="85">
        <f>COUNTIFS(pardazesh!$W$5:$X$41,D110)</f>
        <v>0</v>
      </c>
      <c r="I110" s="91"/>
      <c r="J110" s="92" t="str">
        <f t="shared" si="12"/>
        <v>مرندي شيره جيني حميد</v>
      </c>
      <c r="K110" s="93" t="str">
        <f t="shared" si="11"/>
        <v>C</v>
      </c>
      <c r="N110" s="92" t="str">
        <f t="shared" si="13"/>
        <v xml:space="preserve"> </v>
      </c>
      <c r="O110" s="93" t="str">
        <f t="shared" si="14"/>
        <v/>
      </c>
    </row>
    <row r="111" spans="1:15" s="85" customFormat="1" ht="12" customHeight="1" x14ac:dyDescent="0.2">
      <c r="A111" s="201" t="s">
        <v>1005</v>
      </c>
      <c r="B111" s="202" t="s">
        <v>58</v>
      </c>
      <c r="C111" s="202" t="s">
        <v>1031</v>
      </c>
      <c r="D111" s="205">
        <v>99376</v>
      </c>
      <c r="E111" s="201" t="s">
        <v>9</v>
      </c>
      <c r="F111" s="201" t="s">
        <v>504</v>
      </c>
      <c r="G111" s="201" t="s">
        <v>250</v>
      </c>
      <c r="H111" s="85">
        <f>COUNTIFS(pardazesh!$W$5:$X$41,D111)</f>
        <v>0</v>
      </c>
      <c r="I111" s="91"/>
      <c r="J111" s="92" t="str">
        <f t="shared" si="12"/>
        <v>ابراهیمی محمد</v>
      </c>
      <c r="K111" s="93" t="str">
        <f t="shared" si="11"/>
        <v>C</v>
      </c>
      <c r="N111" s="92" t="str">
        <f t="shared" si="13"/>
        <v xml:space="preserve"> </v>
      </c>
      <c r="O111" s="93" t="str">
        <f t="shared" si="14"/>
        <v/>
      </c>
    </row>
    <row r="112" spans="1:15" s="85" customFormat="1" ht="12" customHeight="1" x14ac:dyDescent="0.2">
      <c r="A112" s="198" t="s">
        <v>1006</v>
      </c>
      <c r="B112" s="202" t="s">
        <v>73</v>
      </c>
      <c r="C112" s="202" t="s">
        <v>155</v>
      </c>
      <c r="D112" s="205" t="s">
        <v>657</v>
      </c>
      <c r="E112" s="201" t="s">
        <v>9</v>
      </c>
      <c r="F112" s="201" t="s">
        <v>504</v>
      </c>
      <c r="G112" s="201" t="s">
        <v>250</v>
      </c>
      <c r="H112" s="85">
        <f>COUNTIFS(pardazesh!$W$5:$X$41,D112)</f>
        <v>0</v>
      </c>
      <c r="I112" s="91"/>
      <c r="J112" s="92" t="str">
        <f t="shared" si="12"/>
        <v>عظيمي علي</v>
      </c>
      <c r="K112" s="93" t="str">
        <f t="shared" si="11"/>
        <v>C</v>
      </c>
      <c r="N112" s="92" t="str">
        <f t="shared" si="13"/>
        <v xml:space="preserve"> </v>
      </c>
      <c r="O112" s="93" t="str">
        <f t="shared" si="14"/>
        <v/>
      </c>
    </row>
    <row r="113" spans="1:15" s="85" customFormat="1" ht="12" customHeight="1" x14ac:dyDescent="0.2">
      <c r="A113" s="201" t="s">
        <v>1007</v>
      </c>
      <c r="B113" s="202" t="s">
        <v>73</v>
      </c>
      <c r="C113" s="202" t="s">
        <v>168</v>
      </c>
      <c r="D113" s="205" t="s">
        <v>659</v>
      </c>
      <c r="E113" s="201" t="s">
        <v>9</v>
      </c>
      <c r="F113" s="201" t="s">
        <v>504</v>
      </c>
      <c r="G113" s="201" t="s">
        <v>250</v>
      </c>
      <c r="H113" s="85">
        <f>COUNTIFS(pardazesh!$W$5:$X$41,D113)</f>
        <v>0</v>
      </c>
      <c r="I113" s="91"/>
      <c r="J113" s="92" t="str">
        <f t="shared" si="12"/>
        <v>قديري علي</v>
      </c>
      <c r="K113" s="93" t="str">
        <f t="shared" si="11"/>
        <v>C</v>
      </c>
      <c r="N113" s="92" t="str">
        <f t="shared" si="13"/>
        <v xml:space="preserve"> </v>
      </c>
      <c r="O113" s="93" t="str">
        <f t="shared" si="14"/>
        <v/>
      </c>
    </row>
    <row r="114" spans="1:15" s="85" customFormat="1" ht="12" customHeight="1" x14ac:dyDescent="0.2">
      <c r="A114" s="198" t="s">
        <v>1008</v>
      </c>
      <c r="B114" s="202" t="s">
        <v>661</v>
      </c>
      <c r="C114" s="202" t="s">
        <v>662</v>
      </c>
      <c r="D114" s="205" t="s">
        <v>663</v>
      </c>
      <c r="E114" s="201" t="s">
        <v>9</v>
      </c>
      <c r="F114" s="201" t="s">
        <v>504</v>
      </c>
      <c r="G114" s="201" t="s">
        <v>250</v>
      </c>
      <c r="H114" s="85">
        <f>COUNTIFS(pardazesh!$W$5:$X$41,D114)</f>
        <v>0</v>
      </c>
      <c r="I114" s="91"/>
      <c r="J114" s="92" t="str">
        <f t="shared" si="12"/>
        <v>قراگوزلو سهيل</v>
      </c>
      <c r="K114" s="93" t="str">
        <f t="shared" si="11"/>
        <v>C</v>
      </c>
      <c r="N114" s="92" t="str">
        <f t="shared" si="13"/>
        <v xml:space="preserve"> </v>
      </c>
      <c r="O114" s="93" t="str">
        <f t="shared" si="14"/>
        <v/>
      </c>
    </row>
    <row r="115" spans="1:15" s="85" customFormat="1" ht="12" customHeight="1" x14ac:dyDescent="0.2">
      <c r="A115" s="201" t="s">
        <v>1009</v>
      </c>
      <c r="B115" s="202" t="s">
        <v>116</v>
      </c>
      <c r="C115" s="202" t="s">
        <v>978</v>
      </c>
      <c r="D115" s="206" t="s">
        <v>979</v>
      </c>
      <c r="E115" s="201" t="s">
        <v>9</v>
      </c>
      <c r="F115" s="201" t="s">
        <v>504</v>
      </c>
      <c r="G115" s="201" t="s">
        <v>250</v>
      </c>
      <c r="H115" s="85">
        <f>COUNTIFS(pardazesh!$W$5:$X$41,D115)</f>
        <v>0</v>
      </c>
      <c r="I115" s="91"/>
      <c r="J115" s="92" t="str">
        <f t="shared" si="12"/>
        <v>فرخي عليرضا</v>
      </c>
      <c r="K115" s="93" t="str">
        <f t="shared" si="11"/>
        <v>C</v>
      </c>
      <c r="N115" s="92" t="str">
        <f t="shared" si="13"/>
        <v xml:space="preserve"> </v>
      </c>
      <c r="O115" s="93" t="str">
        <f t="shared" si="14"/>
        <v/>
      </c>
    </row>
    <row r="116" spans="1:15" s="85" customFormat="1" ht="12" customHeight="1" x14ac:dyDescent="0.2">
      <c r="A116" s="201" t="s">
        <v>1010</v>
      </c>
      <c r="B116" s="202"/>
      <c r="C116" s="202"/>
      <c r="D116" s="206"/>
      <c r="E116" s="201"/>
      <c r="F116" s="201"/>
      <c r="G116" s="201"/>
      <c r="H116" s="85">
        <f>COUNTIFS(pardazesh!$W$5:$X$41,D116)</f>
        <v>0</v>
      </c>
      <c r="I116" s="91" t="s">
        <v>3</v>
      </c>
      <c r="J116" s="92" t="str">
        <f t="shared" si="12"/>
        <v xml:space="preserve"> </v>
      </c>
      <c r="K116" s="93" t="str">
        <f t="shared" si="11"/>
        <v/>
      </c>
      <c r="N116" s="92" t="str">
        <f t="shared" si="13"/>
        <v xml:space="preserve"> </v>
      </c>
      <c r="O116" s="93" t="str">
        <f t="shared" si="14"/>
        <v/>
      </c>
    </row>
    <row r="117" spans="1:15" s="85" customFormat="1" ht="12" customHeight="1" x14ac:dyDescent="0.2">
      <c r="A117" s="198" t="s">
        <v>1011</v>
      </c>
      <c r="B117" s="202" t="s">
        <v>230</v>
      </c>
      <c r="C117" s="202" t="s">
        <v>231</v>
      </c>
      <c r="D117" s="205" t="s">
        <v>666</v>
      </c>
      <c r="E117" s="201" t="s">
        <v>9</v>
      </c>
      <c r="F117" s="201" t="s">
        <v>504</v>
      </c>
      <c r="G117" s="201" t="s">
        <v>250</v>
      </c>
      <c r="H117" s="85">
        <f>COUNTIFS(pardazesh!$W$5:$X$41,D117)</f>
        <v>0</v>
      </c>
      <c r="I117" s="91"/>
      <c r="J117" s="92" t="str">
        <f t="shared" si="12"/>
        <v>مرادي شميم امير</v>
      </c>
      <c r="K117" s="93" t="str">
        <f t="shared" si="11"/>
        <v>C</v>
      </c>
      <c r="N117" s="92" t="str">
        <f t="shared" si="13"/>
        <v xml:space="preserve"> </v>
      </c>
      <c r="O117" s="93" t="str">
        <f t="shared" si="14"/>
        <v/>
      </c>
    </row>
    <row r="118" spans="1:15" s="85" customFormat="1" ht="12" customHeight="1" x14ac:dyDescent="0.2">
      <c r="A118" s="201" t="s">
        <v>1012</v>
      </c>
      <c r="B118" s="202" t="s">
        <v>134</v>
      </c>
      <c r="C118" s="202" t="s">
        <v>226</v>
      </c>
      <c r="D118" s="206" t="s">
        <v>668</v>
      </c>
      <c r="E118" s="201" t="s">
        <v>9</v>
      </c>
      <c r="F118" s="201" t="s">
        <v>504</v>
      </c>
      <c r="G118" s="201" t="s">
        <v>250</v>
      </c>
      <c r="H118" s="85">
        <f>COUNTIFS(pardazesh!$W$5:$X$41,D118)</f>
        <v>0</v>
      </c>
      <c r="I118" s="91"/>
      <c r="J118" s="92" t="str">
        <f t="shared" si="12"/>
        <v>مراديان فرهاد</v>
      </c>
      <c r="K118" s="93" t="str">
        <f t="shared" si="11"/>
        <v>C</v>
      </c>
      <c r="N118" s="92" t="str">
        <f t="shared" si="13"/>
        <v xml:space="preserve"> </v>
      </c>
      <c r="O118" s="93" t="str">
        <f t="shared" si="14"/>
        <v/>
      </c>
    </row>
    <row r="119" spans="1:15" s="85" customFormat="1" ht="12" customHeight="1" x14ac:dyDescent="0.2">
      <c r="A119" s="198" t="s">
        <v>1013</v>
      </c>
      <c r="B119" s="202" t="s">
        <v>234</v>
      </c>
      <c r="C119" s="202" t="s">
        <v>235</v>
      </c>
      <c r="D119" s="206" t="s">
        <v>670</v>
      </c>
      <c r="E119" s="201" t="s">
        <v>9</v>
      </c>
      <c r="F119" s="201" t="s">
        <v>504</v>
      </c>
      <c r="G119" s="201" t="s">
        <v>250</v>
      </c>
      <c r="H119" s="85">
        <f>COUNTIFS(pardazesh!$W$5:$X$41,D119)</f>
        <v>0</v>
      </c>
      <c r="I119" s="91"/>
      <c r="J119" s="92" t="str">
        <f t="shared" si="12"/>
        <v>منتخبي مسعود</v>
      </c>
      <c r="K119" s="93" t="str">
        <f t="shared" si="11"/>
        <v>C</v>
      </c>
      <c r="N119" s="92" t="str">
        <f t="shared" si="13"/>
        <v xml:space="preserve"> </v>
      </c>
      <c r="O119" s="93" t="str">
        <f t="shared" si="14"/>
        <v/>
      </c>
    </row>
    <row r="120" spans="1:15" s="85" customFormat="1" ht="12" customHeight="1" x14ac:dyDescent="0.2">
      <c r="A120" s="201" t="s">
        <v>1014</v>
      </c>
      <c r="B120" s="202" t="s">
        <v>544</v>
      </c>
      <c r="C120" s="202" t="s">
        <v>545</v>
      </c>
      <c r="D120" s="205" t="s">
        <v>546</v>
      </c>
      <c r="E120" s="201" t="s">
        <v>9</v>
      </c>
      <c r="F120" s="201" t="s">
        <v>504</v>
      </c>
      <c r="G120" s="201" t="s">
        <v>250</v>
      </c>
      <c r="H120" s="85">
        <f>COUNTIFS(pardazesh!$W$5:$X$41,D120)</f>
        <v>0</v>
      </c>
      <c r="I120" s="91"/>
      <c r="J120" s="92" t="str">
        <f t="shared" si="12"/>
        <v>قرباني قصابعليسرائي صادق</v>
      </c>
      <c r="K120" s="93" t="str">
        <f t="shared" si="11"/>
        <v>C</v>
      </c>
      <c r="N120" s="92" t="str">
        <f t="shared" si="13"/>
        <v xml:space="preserve"> </v>
      </c>
      <c r="O120" s="93" t="str">
        <f t="shared" si="14"/>
        <v/>
      </c>
    </row>
    <row r="121" spans="1:15" s="85" customFormat="1" ht="12" customHeight="1" x14ac:dyDescent="0.2">
      <c r="A121" s="201" t="s">
        <v>1015</v>
      </c>
      <c r="B121" s="202"/>
      <c r="C121" s="202"/>
      <c r="D121" s="205"/>
      <c r="E121" s="201"/>
      <c r="F121" s="201"/>
      <c r="G121" s="201"/>
      <c r="H121" s="85">
        <f>COUNTIFS(pardazesh!$W$5:$X$41,D121)</f>
        <v>0</v>
      </c>
      <c r="I121" s="91" t="s">
        <v>3</v>
      </c>
      <c r="J121" s="92" t="str">
        <f t="shared" si="12"/>
        <v xml:space="preserve"> </v>
      </c>
      <c r="K121" s="93" t="str">
        <f t="shared" si="11"/>
        <v/>
      </c>
      <c r="N121" s="92" t="str">
        <f t="shared" si="13"/>
        <v xml:space="preserve"> </v>
      </c>
      <c r="O121" s="93" t="str">
        <f t="shared" si="14"/>
        <v/>
      </c>
    </row>
    <row r="122" spans="1:15" s="85" customFormat="1" ht="12" customHeight="1" x14ac:dyDescent="0.2">
      <c r="A122" s="198" t="s">
        <v>1016</v>
      </c>
      <c r="B122" s="203" t="s">
        <v>73</v>
      </c>
      <c r="C122" s="203" t="s">
        <v>105</v>
      </c>
      <c r="D122" s="212">
        <v>74619</v>
      </c>
      <c r="E122" s="201" t="s">
        <v>9</v>
      </c>
      <c r="F122" s="201" t="s">
        <v>504</v>
      </c>
      <c r="G122" s="201" t="s">
        <v>250</v>
      </c>
      <c r="H122" s="85">
        <f>COUNTIFS(pardazesh!$W$5:$X$41,D122)</f>
        <v>0</v>
      </c>
      <c r="I122" s="91"/>
      <c r="J122" s="92" t="str">
        <f t="shared" si="12"/>
        <v>ميرزائي علي</v>
      </c>
      <c r="K122" s="93" t="str">
        <f t="shared" si="11"/>
        <v>C</v>
      </c>
      <c r="N122" s="92" t="str">
        <f t="shared" si="13"/>
        <v xml:space="preserve"> </v>
      </c>
      <c r="O122" s="93" t="str">
        <f t="shared" si="14"/>
        <v/>
      </c>
    </row>
    <row r="123" spans="1:15" s="85" customFormat="1" ht="12" customHeight="1" x14ac:dyDescent="0.2">
      <c r="A123" s="201" t="s">
        <v>1017</v>
      </c>
      <c r="B123" s="202"/>
      <c r="C123" s="202"/>
      <c r="D123" s="205"/>
      <c r="E123" s="201"/>
      <c r="F123" s="201"/>
      <c r="G123" s="201"/>
      <c r="H123" s="85">
        <f>COUNTIFS(pardazesh!$W$5:$X$41,D123)</f>
        <v>0</v>
      </c>
      <c r="I123" s="91" t="s">
        <v>3</v>
      </c>
      <c r="J123" s="92" t="str">
        <f t="shared" si="12"/>
        <v xml:space="preserve"> </v>
      </c>
      <c r="K123" s="93" t="str">
        <f t="shared" si="11"/>
        <v/>
      </c>
      <c r="N123" s="92" t="str">
        <f t="shared" si="13"/>
        <v xml:space="preserve"> </v>
      </c>
      <c r="O123" s="93" t="str">
        <f t="shared" si="14"/>
        <v/>
      </c>
    </row>
    <row r="124" spans="1:15" ht="15" x14ac:dyDescent="0.25">
      <c r="A124" s="198" t="s">
        <v>1034</v>
      </c>
      <c r="B124" s="202"/>
      <c r="C124" s="202"/>
      <c r="D124" s="205"/>
      <c r="E124" s="201"/>
      <c r="F124" s="201"/>
      <c r="G124" s="201"/>
      <c r="H124" s="85">
        <f>COUNTIFS(pardazesh!$W$5:$X$41,D124)</f>
        <v>0</v>
      </c>
      <c r="I124" s="91" t="s">
        <v>3</v>
      </c>
      <c r="J124" s="92" t="str">
        <f t="shared" ref="J124" si="15">IF(AND(H124=0,I124&lt;&gt;"T"),C124,"")&amp;" "&amp;IF(AND(H124=0,I124&lt;&gt;"T"),B124,"")</f>
        <v xml:space="preserve"> </v>
      </c>
      <c r="K124" s="93" t="str">
        <f t="shared" ref="K124" si="16">IF(AND(H124=0,I124&lt;&gt;"T"),G124,"")</f>
        <v/>
      </c>
      <c r="N124" s="92" t="str">
        <f t="shared" si="13"/>
        <v xml:space="preserve"> </v>
      </c>
      <c r="O124" s="93" t="str">
        <f t="shared" si="14"/>
        <v/>
      </c>
    </row>
    <row r="125" spans="1:15" x14ac:dyDescent="0.25">
      <c r="A125" s="201" t="s">
        <v>1609</v>
      </c>
      <c r="D125" s="217"/>
      <c r="E125" s="201"/>
      <c r="F125" s="201"/>
      <c r="G125" s="201"/>
      <c r="I125" s="91" t="s">
        <v>3</v>
      </c>
    </row>
    <row r="126" spans="1:15" x14ac:dyDescent="0.25">
      <c r="C126" s="240"/>
      <c r="D126" s="240"/>
    </row>
    <row r="127" spans="1:15" x14ac:dyDescent="0.25">
      <c r="C127" s="241"/>
      <c r="D127" s="241"/>
    </row>
    <row r="128" spans="1:15" x14ac:dyDescent="0.25">
      <c r="C128" s="241"/>
      <c r="D128" s="241"/>
    </row>
    <row r="129" spans="3:5" x14ac:dyDescent="0.25">
      <c r="C129" s="241"/>
      <c r="D129" s="241"/>
    </row>
    <row r="130" spans="3:5" x14ac:dyDescent="0.25">
      <c r="C130" s="241"/>
      <c r="D130" s="241"/>
    </row>
    <row r="131" spans="3:5" x14ac:dyDescent="0.25">
      <c r="C131" s="82"/>
      <c r="D131" s="242"/>
      <c r="E131" s="192"/>
    </row>
  </sheetData>
  <phoneticPr fontId="3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2:Q58"/>
  <sheetViews>
    <sheetView rightToLeft="1" topLeftCell="C22" workbookViewId="0">
      <selection activeCell="C56" sqref="C56:D58"/>
    </sheetView>
  </sheetViews>
  <sheetFormatPr defaultRowHeight="19.5" x14ac:dyDescent="0.25"/>
  <cols>
    <col min="1" max="1" width="5.42578125" bestFit="1" customWidth="1"/>
    <col min="2" max="2" width="10.7109375" bestFit="1" customWidth="1"/>
    <col min="3" max="3" width="21.7109375" bestFit="1" customWidth="1"/>
    <col min="4" max="4" width="14.5703125" bestFit="1" customWidth="1"/>
    <col min="5" max="5" width="5" bestFit="1" customWidth="1"/>
    <col min="6" max="6" width="10" bestFit="1" customWidth="1"/>
    <col min="7" max="7" width="9.5703125" bestFit="1" customWidth="1"/>
    <col min="10" max="10" width="23.5703125" style="83" customWidth="1"/>
    <col min="11" max="11" width="5.85546875" style="83" bestFit="1" customWidth="1"/>
    <col min="14" max="14" width="17.5703125" customWidth="1"/>
  </cols>
  <sheetData>
    <row r="2" spans="1:17" x14ac:dyDescent="0.25">
      <c r="A2" s="197" t="s">
        <v>495</v>
      </c>
      <c r="B2" s="197" t="s">
        <v>246</v>
      </c>
      <c r="C2" s="197" t="s">
        <v>496</v>
      </c>
      <c r="D2" s="197" t="s">
        <v>497</v>
      </c>
      <c r="E2" s="197" t="s">
        <v>498</v>
      </c>
      <c r="F2" s="197" t="s">
        <v>499</v>
      </c>
      <c r="G2" s="197" t="s">
        <v>500</v>
      </c>
      <c r="I2" s="82"/>
      <c r="J2" s="84" t="s">
        <v>246</v>
      </c>
      <c r="K2" s="84" t="s">
        <v>501</v>
      </c>
      <c r="N2" s="84" t="s">
        <v>246</v>
      </c>
      <c r="O2" s="84" t="s">
        <v>501</v>
      </c>
    </row>
    <row r="3" spans="1:17" s="85" customFormat="1" ht="12.75" customHeight="1" x14ac:dyDescent="0.2">
      <c r="A3" s="198" t="s">
        <v>502</v>
      </c>
      <c r="B3" s="199" t="s">
        <v>937</v>
      </c>
      <c r="C3" s="200" t="s">
        <v>938</v>
      </c>
      <c r="D3" s="199" t="s">
        <v>980</v>
      </c>
      <c r="E3" s="199" t="s">
        <v>679</v>
      </c>
      <c r="F3" s="199" t="s">
        <v>1018</v>
      </c>
      <c r="G3" s="199" t="s">
        <v>248</v>
      </c>
      <c r="H3" s="85">
        <f>COUNTIFS(pardazesh!$Y$5:$Z$41,D3)</f>
        <v>0</v>
      </c>
      <c r="I3" s="239" t="s">
        <v>3</v>
      </c>
      <c r="J3" s="90" t="str">
        <f t="shared" ref="J3:J39" si="0">IF(AND(H3=0,I3&lt;&gt;"T"),C3,"")&amp;" "&amp;IF(AND(H3=0,I3&lt;&gt;"T"),B3,"")</f>
        <v xml:space="preserve"> </v>
      </c>
      <c r="K3" s="40" t="str">
        <f t="shared" ref="K3:K34" si="1">IF(AND(H3=0,I3&lt;&gt;"T"),G3,"")</f>
        <v/>
      </c>
      <c r="N3" s="90" t="str">
        <f t="shared" ref="N3:N39" si="2">IF(H3=1,C3,"")&amp;" "&amp;IF(H3=1,B3,"")</f>
        <v xml:space="preserve"> </v>
      </c>
      <c r="O3" s="40" t="str">
        <f t="shared" ref="O3:O39" si="3">IF(H3=1,G3,"")</f>
        <v/>
      </c>
      <c r="Q3" s="85" t="str">
        <f>pardazesh!T4</f>
        <v/>
      </c>
    </row>
    <row r="4" spans="1:17" s="85" customFormat="1" ht="12.75" customHeight="1" x14ac:dyDescent="0.2">
      <c r="A4" s="201" t="s">
        <v>505</v>
      </c>
      <c r="B4" s="199" t="s">
        <v>116</v>
      </c>
      <c r="C4" s="200" t="s">
        <v>564</v>
      </c>
      <c r="D4" s="199" t="s">
        <v>565</v>
      </c>
      <c r="E4" s="199" t="s">
        <v>679</v>
      </c>
      <c r="F4" s="199" t="s">
        <v>1018</v>
      </c>
      <c r="G4" s="199" t="s">
        <v>248</v>
      </c>
      <c r="H4" s="85">
        <f>COUNTIFS(pardazesh!$Y$5:$Z$41,D4)</f>
        <v>0</v>
      </c>
      <c r="I4" s="239" t="s">
        <v>3</v>
      </c>
      <c r="J4" s="90" t="str">
        <f t="shared" si="0"/>
        <v xml:space="preserve"> </v>
      </c>
      <c r="K4" s="40" t="str">
        <f t="shared" si="1"/>
        <v/>
      </c>
      <c r="N4" s="90" t="str">
        <f t="shared" si="2"/>
        <v xml:space="preserve"> </v>
      </c>
      <c r="O4" s="40" t="str">
        <f t="shared" si="3"/>
        <v/>
      </c>
    </row>
    <row r="5" spans="1:17" s="85" customFormat="1" ht="12.75" customHeight="1" x14ac:dyDescent="0.2">
      <c r="A5" s="198" t="s">
        <v>508</v>
      </c>
      <c r="B5" s="199" t="s">
        <v>62</v>
      </c>
      <c r="C5" s="200" t="s">
        <v>1023</v>
      </c>
      <c r="D5" s="199" t="s">
        <v>1035</v>
      </c>
      <c r="E5" s="199" t="s">
        <v>679</v>
      </c>
      <c r="F5" s="199" t="s">
        <v>1018</v>
      </c>
      <c r="G5" s="199" t="s">
        <v>248</v>
      </c>
      <c r="H5" s="85">
        <f>COUNTIFS(pardazesh!$Y$5:$Z$41,D5)</f>
        <v>0</v>
      </c>
      <c r="I5" s="239" t="s">
        <v>3</v>
      </c>
      <c r="J5" s="90" t="str">
        <f t="shared" si="0"/>
        <v xml:space="preserve"> </v>
      </c>
      <c r="K5" s="40" t="str">
        <f t="shared" si="1"/>
        <v/>
      </c>
      <c r="N5" s="90" t="str">
        <f t="shared" si="2"/>
        <v xml:space="preserve"> </v>
      </c>
      <c r="O5" s="40" t="str">
        <f t="shared" si="3"/>
        <v/>
      </c>
    </row>
    <row r="6" spans="1:17" s="85" customFormat="1" ht="12.75" customHeight="1" x14ac:dyDescent="0.2">
      <c r="A6" s="198" t="s">
        <v>512</v>
      </c>
      <c r="B6" s="202" t="s">
        <v>116</v>
      </c>
      <c r="C6" s="202" t="s">
        <v>683</v>
      </c>
      <c r="D6" s="202" t="s">
        <v>684</v>
      </c>
      <c r="E6" s="202" t="s">
        <v>679</v>
      </c>
      <c r="F6" s="202" t="s">
        <v>1018</v>
      </c>
      <c r="G6" s="202" t="s">
        <v>248</v>
      </c>
      <c r="H6" s="85">
        <f>COUNTIFS(pardazesh!$Y$5:$Z$41,D6)</f>
        <v>0</v>
      </c>
      <c r="I6" s="239"/>
      <c r="J6" s="90" t="str">
        <f t="shared" si="0"/>
        <v>حسيني ججين عليرضا</v>
      </c>
      <c r="K6" s="40" t="str">
        <f t="shared" si="1"/>
        <v>A</v>
      </c>
      <c r="N6" s="90" t="str">
        <f t="shared" si="2"/>
        <v xml:space="preserve"> </v>
      </c>
      <c r="O6" s="40" t="str">
        <f t="shared" si="3"/>
        <v/>
      </c>
    </row>
    <row r="7" spans="1:17" s="85" customFormat="1" ht="12.75" customHeight="1" x14ac:dyDescent="0.2">
      <c r="A7" s="201" t="s">
        <v>515</v>
      </c>
      <c r="B7" s="202" t="s">
        <v>61</v>
      </c>
      <c r="C7" s="202" t="s">
        <v>206</v>
      </c>
      <c r="D7" s="202" t="s">
        <v>697</v>
      </c>
      <c r="E7" s="202" t="s">
        <v>679</v>
      </c>
      <c r="F7" s="202" t="s">
        <v>1018</v>
      </c>
      <c r="G7" s="202" t="s">
        <v>248</v>
      </c>
      <c r="H7" s="85">
        <f>COUNTIFS(pardazesh!$Y$5:$Z$41,D7)</f>
        <v>0</v>
      </c>
      <c r="I7" s="239"/>
      <c r="J7" s="90" t="str">
        <f t="shared" si="0"/>
        <v>اميري ميثم</v>
      </c>
      <c r="K7" s="40" t="str">
        <f t="shared" si="1"/>
        <v>A</v>
      </c>
      <c r="N7" s="90" t="str">
        <f t="shared" si="2"/>
        <v xml:space="preserve"> </v>
      </c>
      <c r="O7" s="40" t="str">
        <f t="shared" si="3"/>
        <v/>
      </c>
    </row>
    <row r="8" spans="1:17" s="85" customFormat="1" ht="12.75" customHeight="1" x14ac:dyDescent="0.2">
      <c r="A8" s="198" t="s">
        <v>518</v>
      </c>
      <c r="B8" s="202" t="s">
        <v>1578</v>
      </c>
      <c r="C8" s="202" t="s">
        <v>681</v>
      </c>
      <c r="D8" s="202" t="s">
        <v>682</v>
      </c>
      <c r="E8" s="201" t="s">
        <v>679</v>
      </c>
      <c r="F8" s="201" t="s">
        <v>504</v>
      </c>
      <c r="G8" s="201" t="s">
        <v>248</v>
      </c>
      <c r="H8" s="85">
        <f>COUNTIFS(pardazesh!$Y$5:$Z$41,D8)</f>
        <v>0</v>
      </c>
      <c r="I8" s="239"/>
      <c r="J8" s="90" t="str">
        <f t="shared" si="0"/>
        <v>حسيني سيدمهدي</v>
      </c>
      <c r="K8" s="40" t="str">
        <f t="shared" si="1"/>
        <v>A</v>
      </c>
      <c r="N8" s="90" t="str">
        <f t="shared" si="2"/>
        <v xml:space="preserve"> </v>
      </c>
      <c r="O8" s="40" t="str">
        <f t="shared" si="3"/>
        <v/>
      </c>
    </row>
    <row r="9" spans="1:17" s="85" customFormat="1" ht="12.75" customHeight="1" x14ac:dyDescent="0.2">
      <c r="A9" s="198" t="s">
        <v>520</v>
      </c>
      <c r="B9" s="202" t="s">
        <v>59</v>
      </c>
      <c r="C9" s="202" t="s">
        <v>141</v>
      </c>
      <c r="D9" s="202" t="s">
        <v>680</v>
      </c>
      <c r="E9" s="201" t="s">
        <v>679</v>
      </c>
      <c r="F9" s="201" t="s">
        <v>504</v>
      </c>
      <c r="G9" s="201" t="s">
        <v>248</v>
      </c>
      <c r="H9" s="85">
        <f>COUNTIFS(pardazesh!$Y$5:$Z$41,D9)</f>
        <v>0</v>
      </c>
      <c r="I9" s="239"/>
      <c r="J9" s="90" t="str">
        <f t="shared" si="0"/>
        <v>پيرمحمدي حسين</v>
      </c>
      <c r="K9" s="40" t="str">
        <f t="shared" si="1"/>
        <v>A</v>
      </c>
      <c r="N9" s="90" t="str">
        <f t="shared" si="2"/>
        <v xml:space="preserve"> </v>
      </c>
      <c r="O9" s="40" t="str">
        <f t="shared" si="3"/>
        <v/>
      </c>
    </row>
    <row r="10" spans="1:17" s="85" customFormat="1" ht="12.75" customHeight="1" x14ac:dyDescent="0.2">
      <c r="A10" s="201" t="s">
        <v>523</v>
      </c>
      <c r="B10" s="202" t="s">
        <v>69</v>
      </c>
      <c r="C10" s="202" t="s">
        <v>70</v>
      </c>
      <c r="D10" s="202" t="s">
        <v>685</v>
      </c>
      <c r="E10" s="201" t="s">
        <v>679</v>
      </c>
      <c r="F10" s="201" t="s">
        <v>504</v>
      </c>
      <c r="G10" s="201" t="s">
        <v>248</v>
      </c>
      <c r="H10" s="85">
        <f>COUNTIFS(pardazesh!$Y$5:$Z$41,D10)</f>
        <v>0</v>
      </c>
      <c r="I10" s="239"/>
      <c r="J10" s="90" t="str">
        <f t="shared" si="0"/>
        <v>حيدري ورنامخواستي مرتضي</v>
      </c>
      <c r="K10" s="40" t="str">
        <f t="shared" si="1"/>
        <v>A</v>
      </c>
      <c r="N10" s="90" t="str">
        <f t="shared" si="2"/>
        <v xml:space="preserve"> </v>
      </c>
      <c r="O10" s="40" t="str">
        <f t="shared" si="3"/>
        <v/>
      </c>
    </row>
    <row r="11" spans="1:17" s="85" customFormat="1" ht="12.75" customHeight="1" x14ac:dyDescent="0.2">
      <c r="A11" s="198" t="s">
        <v>525</v>
      </c>
      <c r="B11" s="202" t="s">
        <v>62</v>
      </c>
      <c r="C11" s="202" t="s">
        <v>686</v>
      </c>
      <c r="D11" s="202" t="s">
        <v>687</v>
      </c>
      <c r="E11" s="198" t="s">
        <v>679</v>
      </c>
      <c r="F11" s="198" t="s">
        <v>504</v>
      </c>
      <c r="G11" s="198" t="s">
        <v>248</v>
      </c>
      <c r="H11" s="85">
        <f>COUNTIFS(pardazesh!$Y$5:$Z$41,D11)</f>
        <v>0</v>
      </c>
      <c r="I11" s="87"/>
      <c r="J11" s="90" t="str">
        <f t="shared" si="0"/>
        <v>رضايي اسعد مهدي</v>
      </c>
      <c r="K11" s="40" t="str">
        <f t="shared" si="1"/>
        <v>A</v>
      </c>
      <c r="M11" s="87"/>
      <c r="N11" s="90" t="str">
        <f t="shared" si="2"/>
        <v xml:space="preserve"> </v>
      </c>
      <c r="O11" s="40" t="str">
        <f t="shared" si="3"/>
        <v/>
      </c>
    </row>
    <row r="12" spans="1:17" s="85" customFormat="1" ht="12.75" customHeight="1" x14ac:dyDescent="0.2">
      <c r="A12" s="198" t="s">
        <v>527</v>
      </c>
      <c r="B12" s="202" t="s">
        <v>58</v>
      </c>
      <c r="C12" s="202" t="s">
        <v>1579</v>
      </c>
      <c r="D12" s="202" t="s">
        <v>1580</v>
      </c>
      <c r="E12" s="201" t="s">
        <v>679</v>
      </c>
      <c r="F12" s="201" t="s">
        <v>504</v>
      </c>
      <c r="G12" s="201" t="s">
        <v>248</v>
      </c>
      <c r="H12" s="85">
        <f>COUNTIFS(pardazesh!$Y$5:$Z$41,D12)</f>
        <v>0</v>
      </c>
      <c r="I12" s="239" t="s">
        <v>3</v>
      </c>
      <c r="J12" s="90" t="str">
        <f t="shared" si="0"/>
        <v xml:space="preserve"> </v>
      </c>
      <c r="K12" s="40" t="str">
        <f t="shared" si="1"/>
        <v/>
      </c>
      <c r="N12" s="90" t="str">
        <f t="shared" si="2"/>
        <v xml:space="preserve"> </v>
      </c>
      <c r="O12" s="40" t="str">
        <f t="shared" si="3"/>
        <v/>
      </c>
    </row>
    <row r="13" spans="1:17" s="85" customFormat="1" ht="12.75" customHeight="1" x14ac:dyDescent="0.2">
      <c r="A13" s="201" t="s">
        <v>530</v>
      </c>
      <c r="B13" s="202" t="s">
        <v>62</v>
      </c>
      <c r="C13" s="202" t="s">
        <v>215</v>
      </c>
      <c r="D13" s="202" t="s">
        <v>704</v>
      </c>
      <c r="E13" s="201" t="s">
        <v>679</v>
      </c>
      <c r="F13" s="201" t="s">
        <v>504</v>
      </c>
      <c r="G13" s="201" t="s">
        <v>248</v>
      </c>
      <c r="H13" s="85">
        <f>COUNTIFS(pardazesh!$Y$5:$Z$41,D13)</f>
        <v>0</v>
      </c>
      <c r="I13" s="239" t="s">
        <v>3</v>
      </c>
      <c r="J13" s="90" t="str">
        <f t="shared" si="0"/>
        <v xml:space="preserve"> </v>
      </c>
      <c r="K13" s="40" t="str">
        <f>IF(AND(H13=0,I13&lt;&gt;"T"),G13,"")</f>
        <v/>
      </c>
      <c r="N13" s="90" t="str">
        <f t="shared" si="2"/>
        <v xml:space="preserve"> </v>
      </c>
      <c r="O13" s="40" t="str">
        <f t="shared" si="3"/>
        <v/>
      </c>
    </row>
    <row r="14" spans="1:17" s="85" customFormat="1" ht="12.75" customHeight="1" x14ac:dyDescent="0.2">
      <c r="A14" s="198" t="s">
        <v>532</v>
      </c>
      <c r="B14" s="203" t="s">
        <v>65</v>
      </c>
      <c r="C14" s="203" t="s">
        <v>115</v>
      </c>
      <c r="D14" s="203" t="s">
        <v>694</v>
      </c>
      <c r="E14" s="198" t="s">
        <v>679</v>
      </c>
      <c r="F14" s="198" t="s">
        <v>504</v>
      </c>
      <c r="G14" s="198" t="s">
        <v>248</v>
      </c>
      <c r="H14" s="85">
        <f>COUNTIFS(pardazesh!$Y$5:$Z$41,D14)</f>
        <v>0</v>
      </c>
      <c r="I14" s="239"/>
      <c r="J14" s="90" t="str">
        <f t="shared" si="0"/>
        <v>ميرعظيمي محمود</v>
      </c>
      <c r="K14" s="40" t="str">
        <f t="shared" si="1"/>
        <v>A</v>
      </c>
      <c r="N14" s="90" t="str">
        <f t="shared" si="2"/>
        <v xml:space="preserve"> </v>
      </c>
      <c r="O14" s="40" t="str">
        <f t="shared" si="3"/>
        <v/>
      </c>
    </row>
    <row r="15" spans="1:17" s="85" customFormat="1" ht="12.75" customHeight="1" x14ac:dyDescent="0.2">
      <c r="A15" s="198" t="s">
        <v>535</v>
      </c>
      <c r="B15" s="202" t="s">
        <v>982</v>
      </c>
      <c r="C15" s="202" t="s">
        <v>688</v>
      </c>
      <c r="D15" s="202" t="s">
        <v>689</v>
      </c>
      <c r="E15" s="198" t="s">
        <v>679</v>
      </c>
      <c r="F15" s="198" t="s">
        <v>504</v>
      </c>
      <c r="G15" s="198" t="s">
        <v>248</v>
      </c>
      <c r="H15" s="85">
        <f>COUNTIFS(pardazesh!$Y$5:$Z$41,D15)</f>
        <v>0</v>
      </c>
      <c r="I15" s="239"/>
      <c r="J15" s="90" t="str">
        <f t="shared" si="0"/>
        <v xml:space="preserve">رفيع پور محمد </v>
      </c>
      <c r="K15" s="171" t="str">
        <f t="shared" si="1"/>
        <v>A</v>
      </c>
      <c r="N15" s="172" t="str">
        <f t="shared" si="2"/>
        <v xml:space="preserve"> </v>
      </c>
      <c r="O15" s="40" t="str">
        <f t="shared" si="3"/>
        <v/>
      </c>
    </row>
    <row r="16" spans="1:17" s="85" customFormat="1" ht="12.75" customHeight="1" x14ac:dyDescent="0.2">
      <c r="A16" s="198">
        <v>40</v>
      </c>
      <c r="B16" s="202" t="s">
        <v>1581</v>
      </c>
      <c r="C16" s="202" t="s">
        <v>1582</v>
      </c>
      <c r="D16" s="202">
        <v>99761</v>
      </c>
      <c r="E16" s="201" t="s">
        <v>679</v>
      </c>
      <c r="F16" s="201" t="s">
        <v>504</v>
      </c>
      <c r="G16" s="201" t="s">
        <v>248</v>
      </c>
      <c r="H16" s="85">
        <f>COUNTIFS(pardazesh!$Y$5:$Z$41,D16)</f>
        <v>0</v>
      </c>
      <c r="I16" s="239" t="s">
        <v>3</v>
      </c>
      <c r="J16" s="90" t="str">
        <f t="shared" si="0"/>
        <v xml:space="preserve"> </v>
      </c>
      <c r="K16" s="171" t="str">
        <f t="shared" si="1"/>
        <v/>
      </c>
      <c r="N16" s="172" t="str">
        <f t="shared" si="2"/>
        <v xml:space="preserve"> </v>
      </c>
      <c r="O16" s="40" t="str">
        <f t="shared" si="3"/>
        <v/>
      </c>
    </row>
    <row r="17" spans="1:17" s="85" customFormat="1" ht="12.75" customHeight="1" x14ac:dyDescent="0.2">
      <c r="A17" s="198">
        <v>43</v>
      </c>
      <c r="B17" s="202" t="s">
        <v>1583</v>
      </c>
      <c r="C17" s="202" t="s">
        <v>681</v>
      </c>
      <c r="D17" s="202">
        <v>74815</v>
      </c>
      <c r="E17" s="201" t="s">
        <v>679</v>
      </c>
      <c r="F17" s="201" t="s">
        <v>504</v>
      </c>
      <c r="G17" s="201" t="s">
        <v>248</v>
      </c>
      <c r="H17" s="85">
        <f>COUNTIFS(pardazesh!$Y$5:$Z$41,D17)</f>
        <v>0</v>
      </c>
      <c r="I17" s="239" t="s">
        <v>3</v>
      </c>
      <c r="J17" s="90" t="str">
        <f t="shared" si="0"/>
        <v xml:space="preserve"> </v>
      </c>
      <c r="K17" s="171" t="str">
        <f t="shared" si="1"/>
        <v/>
      </c>
      <c r="N17" s="172" t="str">
        <f t="shared" si="2"/>
        <v xml:space="preserve"> </v>
      </c>
      <c r="O17" s="40" t="str">
        <f t="shared" si="3"/>
        <v/>
      </c>
    </row>
    <row r="18" spans="1:17" s="85" customFormat="1" ht="12.75" customHeight="1" x14ac:dyDescent="0.2">
      <c r="A18" s="201" t="s">
        <v>536</v>
      </c>
      <c r="B18" s="199" t="s">
        <v>85</v>
      </c>
      <c r="C18" s="200" t="s">
        <v>1029</v>
      </c>
      <c r="D18" s="199">
        <v>79129</v>
      </c>
      <c r="E18" s="199" t="s">
        <v>679</v>
      </c>
      <c r="F18" s="199" t="s">
        <v>1018</v>
      </c>
      <c r="G18" s="199" t="s">
        <v>249</v>
      </c>
      <c r="H18" s="85">
        <f>COUNTIFS(pardazesh!$Y$5:$Z$41,D18)</f>
        <v>0</v>
      </c>
      <c r="I18" s="239" t="s">
        <v>3</v>
      </c>
      <c r="J18" s="90" t="str">
        <f t="shared" si="0"/>
        <v xml:space="preserve"> </v>
      </c>
      <c r="K18" s="40" t="str">
        <f t="shared" si="1"/>
        <v/>
      </c>
      <c r="N18" s="90" t="str">
        <f t="shared" si="2"/>
        <v xml:space="preserve"> </v>
      </c>
      <c r="O18" s="40" t="str">
        <f t="shared" si="3"/>
        <v/>
      </c>
    </row>
    <row r="19" spans="1:17" s="85" customFormat="1" ht="12.75" customHeight="1" x14ac:dyDescent="0.2">
      <c r="A19" s="198" t="s">
        <v>538</v>
      </c>
      <c r="B19" s="199" t="s">
        <v>58</v>
      </c>
      <c r="C19" s="200" t="s">
        <v>1584</v>
      </c>
      <c r="D19" s="199" t="s">
        <v>1585</v>
      </c>
      <c r="E19" s="199" t="s">
        <v>679</v>
      </c>
      <c r="F19" s="199" t="s">
        <v>1018</v>
      </c>
      <c r="G19" s="199" t="s">
        <v>249</v>
      </c>
      <c r="H19" s="85">
        <f>COUNTIFS(pardazesh!$Y$5:$Z$41,D19)</f>
        <v>0</v>
      </c>
      <c r="I19" s="239" t="s">
        <v>3</v>
      </c>
      <c r="J19" s="90" t="str">
        <f t="shared" si="0"/>
        <v xml:space="preserve"> </v>
      </c>
      <c r="K19" s="40" t="str">
        <f t="shared" si="1"/>
        <v/>
      </c>
      <c r="N19" s="90" t="str">
        <f t="shared" si="2"/>
        <v xml:space="preserve"> </v>
      </c>
      <c r="O19" s="40" t="str">
        <f t="shared" si="3"/>
        <v/>
      </c>
    </row>
    <row r="20" spans="1:17" s="85" customFormat="1" ht="12.75" customHeight="1" x14ac:dyDescent="0.2">
      <c r="A20" s="198" t="s">
        <v>541</v>
      </c>
      <c r="B20" s="199" t="s">
        <v>234</v>
      </c>
      <c r="C20" s="200" t="s">
        <v>939</v>
      </c>
      <c r="D20" s="199" t="s">
        <v>981</v>
      </c>
      <c r="E20" s="199" t="s">
        <v>679</v>
      </c>
      <c r="F20" s="199" t="s">
        <v>1018</v>
      </c>
      <c r="G20" s="199" t="s">
        <v>249</v>
      </c>
      <c r="H20" s="85">
        <f>COUNTIFS(pardazesh!$Y$5:$Z$41,D20)</f>
        <v>0</v>
      </c>
      <c r="I20" s="239" t="s">
        <v>3</v>
      </c>
      <c r="J20" s="90" t="str">
        <f t="shared" si="0"/>
        <v xml:space="preserve"> </v>
      </c>
      <c r="K20" s="40" t="str">
        <f t="shared" si="1"/>
        <v/>
      </c>
      <c r="N20" s="90" t="str">
        <f t="shared" si="2"/>
        <v xml:space="preserve"> </v>
      </c>
      <c r="O20" s="40" t="str">
        <f t="shared" si="3"/>
        <v/>
      </c>
    </row>
    <row r="21" spans="1:17" s="85" customFormat="1" ht="12.75" customHeight="1" x14ac:dyDescent="0.2">
      <c r="A21" s="201" t="s">
        <v>543</v>
      </c>
      <c r="B21" s="202" t="s">
        <v>559</v>
      </c>
      <c r="C21" s="202" t="s">
        <v>691</v>
      </c>
      <c r="D21" s="202" t="s">
        <v>692</v>
      </c>
      <c r="E21" s="202" t="s">
        <v>679</v>
      </c>
      <c r="F21" s="202" t="s">
        <v>1018</v>
      </c>
      <c r="G21" s="202" t="s">
        <v>249</v>
      </c>
      <c r="H21" s="85">
        <f>COUNTIFS(pardazesh!$Y$5:$Z$41,D21)</f>
        <v>0</v>
      </c>
      <c r="I21" s="239"/>
      <c r="J21" s="90" t="str">
        <f t="shared" si="0"/>
        <v>فرحمند حبيبي سوستاني عبدالرضا</v>
      </c>
      <c r="K21" s="40" t="str">
        <f t="shared" si="1"/>
        <v>B</v>
      </c>
      <c r="N21" s="90" t="str">
        <f t="shared" si="2"/>
        <v xml:space="preserve"> </v>
      </c>
      <c r="O21" s="40" t="str">
        <f t="shared" si="3"/>
        <v/>
      </c>
    </row>
    <row r="22" spans="1:17" s="85" customFormat="1" ht="12.75" customHeight="1" x14ac:dyDescent="0.2">
      <c r="A22" s="198" t="s">
        <v>547</v>
      </c>
      <c r="B22" s="202" t="s">
        <v>67</v>
      </c>
      <c r="C22" s="202" t="s">
        <v>587</v>
      </c>
      <c r="D22" s="202" t="s">
        <v>588</v>
      </c>
      <c r="E22" s="202" t="s">
        <v>679</v>
      </c>
      <c r="F22" s="202" t="s">
        <v>1018</v>
      </c>
      <c r="G22" s="202" t="s">
        <v>249</v>
      </c>
      <c r="H22" s="85">
        <f>COUNTIFS(pardazesh!$Y$5:$Z$41,D22)</f>
        <v>0</v>
      </c>
      <c r="I22" s="239"/>
      <c r="J22" s="90" t="str">
        <f t="shared" si="0"/>
        <v>ريوندي حميد</v>
      </c>
      <c r="K22" s="40" t="str">
        <f t="shared" si="1"/>
        <v>B</v>
      </c>
      <c r="N22" s="90" t="str">
        <f t="shared" si="2"/>
        <v xml:space="preserve"> </v>
      </c>
      <c r="O22" s="40" t="str">
        <f t="shared" si="3"/>
        <v/>
      </c>
    </row>
    <row r="23" spans="1:17" s="85" customFormat="1" ht="12.75" customHeight="1" x14ac:dyDescent="0.2">
      <c r="A23" s="201" t="s">
        <v>550</v>
      </c>
      <c r="B23" s="202" t="s">
        <v>60</v>
      </c>
      <c r="C23" s="202" t="s">
        <v>200</v>
      </c>
      <c r="D23" s="202" t="s">
        <v>690</v>
      </c>
      <c r="E23" s="201" t="s">
        <v>679</v>
      </c>
      <c r="F23" s="201" t="s">
        <v>504</v>
      </c>
      <c r="G23" s="201" t="s">
        <v>249</v>
      </c>
      <c r="H23" s="85">
        <f>COUNTIFS(pardazesh!$Y$5:$Z$41,D23)</f>
        <v>0</v>
      </c>
      <c r="I23" s="239"/>
      <c r="J23" s="90" t="str">
        <f t="shared" si="0"/>
        <v>سروريان سعيد</v>
      </c>
      <c r="K23" s="40" t="str">
        <f t="shared" si="1"/>
        <v>B</v>
      </c>
      <c r="N23" s="90" t="str">
        <f t="shared" si="2"/>
        <v xml:space="preserve"> </v>
      </c>
      <c r="O23" s="40" t="str">
        <f t="shared" si="3"/>
        <v/>
      </c>
    </row>
    <row r="24" spans="1:17" s="85" customFormat="1" ht="12.75" customHeight="1" x14ac:dyDescent="0.2">
      <c r="A24" s="198" t="s">
        <v>551</v>
      </c>
      <c r="B24" s="202" t="s">
        <v>239</v>
      </c>
      <c r="C24" s="202" t="s">
        <v>695</v>
      </c>
      <c r="D24" s="202" t="s">
        <v>696</v>
      </c>
      <c r="E24" s="198" t="s">
        <v>679</v>
      </c>
      <c r="F24" s="198" t="s">
        <v>504</v>
      </c>
      <c r="G24" s="198" t="s">
        <v>249</v>
      </c>
      <c r="H24" s="85">
        <f>COUNTIFS(pardazesh!$Y$5:$Z$41,D24)</f>
        <v>0</v>
      </c>
      <c r="I24" s="239"/>
      <c r="J24" s="90" t="str">
        <f t="shared" si="0"/>
        <v>ابراهيمي بردر يونس</v>
      </c>
      <c r="K24" s="40" t="str">
        <f t="shared" si="1"/>
        <v>B</v>
      </c>
      <c r="M24" s="86"/>
      <c r="N24" s="90" t="str">
        <f t="shared" si="2"/>
        <v xml:space="preserve"> </v>
      </c>
      <c r="O24" s="40" t="str">
        <f t="shared" si="3"/>
        <v/>
      </c>
    </row>
    <row r="25" spans="1:17" s="85" customFormat="1" ht="12.75" customHeight="1" x14ac:dyDescent="0.2">
      <c r="A25" s="198" t="s">
        <v>552</v>
      </c>
      <c r="B25" s="202"/>
      <c r="C25" s="202"/>
      <c r="D25" s="202" t="s">
        <v>1619</v>
      </c>
      <c r="E25" s="201" t="s">
        <v>679</v>
      </c>
      <c r="F25" s="201" t="s">
        <v>504</v>
      </c>
      <c r="G25" s="201" t="s">
        <v>249</v>
      </c>
      <c r="H25" s="85">
        <f>COUNTIFS(pardazesh!$Y$5:$Z$41,D25)</f>
        <v>0</v>
      </c>
      <c r="I25" s="86" t="s">
        <v>3</v>
      </c>
      <c r="J25" s="90" t="str">
        <f t="shared" si="0"/>
        <v xml:space="preserve"> </v>
      </c>
      <c r="K25" s="40" t="str">
        <f t="shared" si="1"/>
        <v/>
      </c>
      <c r="N25" s="90" t="str">
        <f t="shared" si="2"/>
        <v xml:space="preserve"> </v>
      </c>
      <c r="O25" s="40" t="str">
        <f t="shared" si="3"/>
        <v/>
      </c>
    </row>
    <row r="26" spans="1:17" s="85" customFormat="1" ht="12.75" customHeight="1" x14ac:dyDescent="0.2">
      <c r="A26" s="201" t="s">
        <v>553</v>
      </c>
      <c r="B26" s="202" t="s">
        <v>61</v>
      </c>
      <c r="C26" s="202" t="s">
        <v>232</v>
      </c>
      <c r="D26" s="202" t="s">
        <v>705</v>
      </c>
      <c r="E26" s="198" t="s">
        <v>679</v>
      </c>
      <c r="F26" s="198" t="s">
        <v>504</v>
      </c>
      <c r="G26" s="198" t="s">
        <v>249</v>
      </c>
      <c r="H26" s="85">
        <f>COUNTIFS(pardazesh!$Y$5:$Z$41,D26)</f>
        <v>0</v>
      </c>
      <c r="I26" s="239"/>
      <c r="J26" s="90" t="str">
        <f t="shared" si="0"/>
        <v>شربت يان آذر ميثم</v>
      </c>
      <c r="K26" s="40" t="str">
        <f t="shared" si="1"/>
        <v>B</v>
      </c>
      <c r="N26" s="90" t="str">
        <f t="shared" si="2"/>
        <v xml:space="preserve"> </v>
      </c>
      <c r="O26" s="40" t="str">
        <f t="shared" si="3"/>
        <v/>
      </c>
    </row>
    <row r="27" spans="1:17" s="85" customFormat="1" ht="12.75" customHeight="1" x14ac:dyDescent="0.2">
      <c r="A27" s="198" t="s">
        <v>556</v>
      </c>
      <c r="B27" s="202" t="s">
        <v>116</v>
      </c>
      <c r="C27" s="202" t="s">
        <v>1572</v>
      </c>
      <c r="D27" s="202" t="s">
        <v>1586</v>
      </c>
      <c r="E27" s="201" t="s">
        <v>679</v>
      </c>
      <c r="F27" s="201" t="s">
        <v>504</v>
      </c>
      <c r="G27" s="201" t="s">
        <v>249</v>
      </c>
      <c r="H27" s="85">
        <f>COUNTIFS(pardazesh!$Y$5:$Z$41,D27)</f>
        <v>0</v>
      </c>
      <c r="I27" s="239"/>
      <c r="J27" s="90" t="str">
        <f t="shared" si="0"/>
        <v>رسولي صادقي عليرضا</v>
      </c>
      <c r="K27" s="40" t="str">
        <f t="shared" si="1"/>
        <v>B</v>
      </c>
      <c r="N27" s="90" t="str">
        <f t="shared" si="2"/>
        <v xml:space="preserve"> </v>
      </c>
      <c r="O27" s="40" t="str">
        <f t="shared" si="3"/>
        <v/>
      </c>
    </row>
    <row r="28" spans="1:17" s="85" customFormat="1" ht="12.75" customHeight="1" x14ac:dyDescent="0.2">
      <c r="A28" s="201" t="s">
        <v>558</v>
      </c>
      <c r="B28" s="202" t="s">
        <v>73</v>
      </c>
      <c r="C28" s="202" t="s">
        <v>1587</v>
      </c>
      <c r="D28" s="202" t="s">
        <v>1588</v>
      </c>
      <c r="E28" s="201" t="s">
        <v>679</v>
      </c>
      <c r="F28" s="201" t="s">
        <v>504</v>
      </c>
      <c r="G28" s="201" t="s">
        <v>249</v>
      </c>
      <c r="H28" s="85">
        <f>COUNTIFS(pardazesh!$Y$5:$Z$41,D28)</f>
        <v>0</v>
      </c>
      <c r="I28" s="239" t="s">
        <v>3</v>
      </c>
      <c r="J28" s="90" t="str">
        <f t="shared" si="0"/>
        <v xml:space="preserve"> </v>
      </c>
      <c r="K28" s="40" t="str">
        <f t="shared" si="1"/>
        <v/>
      </c>
      <c r="N28" s="90" t="str">
        <f t="shared" si="2"/>
        <v xml:space="preserve"> </v>
      </c>
      <c r="O28" s="40" t="str">
        <f t="shared" si="3"/>
        <v/>
      </c>
      <c r="Q28" s="85" t="e">
        <f>MATCH(D28,'selected-lohe'!I1:I175,0)</f>
        <v>#N/A</v>
      </c>
    </row>
    <row r="29" spans="1:17" s="85" customFormat="1" ht="12.75" customHeight="1" x14ac:dyDescent="0.2">
      <c r="A29" s="198" t="s">
        <v>562</v>
      </c>
      <c r="B29" s="204" t="s">
        <v>61</v>
      </c>
      <c r="C29" s="204" t="s">
        <v>698</v>
      </c>
      <c r="D29" s="202" t="s">
        <v>699</v>
      </c>
      <c r="E29" s="201" t="s">
        <v>679</v>
      </c>
      <c r="F29" s="201" t="s">
        <v>504</v>
      </c>
      <c r="G29" s="201" t="s">
        <v>249</v>
      </c>
      <c r="H29" s="85">
        <f>COUNTIFS(pardazesh!$Y$5:$Z$41,D29)</f>
        <v>0</v>
      </c>
      <c r="I29" s="239"/>
      <c r="J29" s="90" t="str">
        <f t="shared" si="0"/>
        <v>داداشيان ميثم</v>
      </c>
      <c r="K29" s="40" t="str">
        <f t="shared" si="1"/>
        <v>B</v>
      </c>
      <c r="N29" s="90" t="str">
        <f t="shared" si="2"/>
        <v xml:space="preserve"> </v>
      </c>
      <c r="O29" s="40" t="str">
        <f t="shared" si="3"/>
        <v/>
      </c>
    </row>
    <row r="30" spans="1:17" s="85" customFormat="1" ht="12.75" customHeight="1" x14ac:dyDescent="0.2">
      <c r="A30" s="198" t="s">
        <v>563</v>
      </c>
      <c r="B30" s="202" t="s">
        <v>241</v>
      </c>
      <c r="C30" s="202" t="s">
        <v>242</v>
      </c>
      <c r="D30" s="202" t="s">
        <v>700</v>
      </c>
      <c r="E30" s="198" t="s">
        <v>679</v>
      </c>
      <c r="F30" s="198" t="s">
        <v>504</v>
      </c>
      <c r="G30" s="201" t="s">
        <v>249</v>
      </c>
      <c r="H30" s="85">
        <f>COUNTIFS(pardazesh!$Y$5:$Z$41,D30)</f>
        <v>0</v>
      </c>
      <c r="I30" s="239"/>
      <c r="J30" s="90" t="str">
        <f t="shared" si="0"/>
        <v>دهقاني ابوذر</v>
      </c>
      <c r="K30" s="40" t="str">
        <f t="shared" si="1"/>
        <v>B</v>
      </c>
      <c r="N30" s="90" t="str">
        <f t="shared" si="2"/>
        <v xml:space="preserve"> </v>
      </c>
      <c r="O30" s="40" t="str">
        <f t="shared" si="3"/>
        <v/>
      </c>
    </row>
    <row r="31" spans="1:17" s="85" customFormat="1" ht="12.75" customHeight="1" x14ac:dyDescent="0.2">
      <c r="A31" s="201" t="s">
        <v>566</v>
      </c>
      <c r="B31" s="202" t="s">
        <v>1575</v>
      </c>
      <c r="C31" s="202" t="s">
        <v>226</v>
      </c>
      <c r="D31" s="202">
        <v>75416</v>
      </c>
      <c r="E31" s="201" t="s">
        <v>679</v>
      </c>
      <c r="F31" s="201" t="s">
        <v>504</v>
      </c>
      <c r="G31" s="201" t="s">
        <v>249</v>
      </c>
      <c r="H31" s="85">
        <f>COUNTIFS(pardazesh!$Y$5:$Z$41,D31)</f>
        <v>0</v>
      </c>
      <c r="I31" s="239" t="s">
        <v>3</v>
      </c>
      <c r="J31" s="90" t="str">
        <f t="shared" si="0"/>
        <v xml:space="preserve"> </v>
      </c>
      <c r="K31" s="40" t="str">
        <f t="shared" si="1"/>
        <v/>
      </c>
      <c r="N31" s="90" t="str">
        <f t="shared" si="2"/>
        <v xml:space="preserve"> </v>
      </c>
      <c r="O31" s="40" t="str">
        <f t="shared" si="3"/>
        <v/>
      </c>
    </row>
    <row r="32" spans="1:17" s="85" customFormat="1" ht="12.75" customHeight="1" x14ac:dyDescent="0.2">
      <c r="A32" s="198">
        <v>44</v>
      </c>
      <c r="B32" s="202" t="s">
        <v>58</v>
      </c>
      <c r="C32" s="202" t="s">
        <v>1589</v>
      </c>
      <c r="D32" s="202" t="s">
        <v>1590</v>
      </c>
      <c r="E32" s="201" t="s">
        <v>679</v>
      </c>
      <c r="F32" s="201" t="s">
        <v>504</v>
      </c>
      <c r="G32" s="201" t="s">
        <v>249</v>
      </c>
      <c r="H32" s="85">
        <f>COUNTIFS(pardazesh!$Y$5:$Z$41,D32)</f>
        <v>0</v>
      </c>
      <c r="I32" s="239" t="s">
        <v>3</v>
      </c>
      <c r="J32" s="90" t="str">
        <f t="shared" si="0"/>
        <v xml:space="preserve"> </v>
      </c>
      <c r="K32" s="40" t="str">
        <f t="shared" si="1"/>
        <v/>
      </c>
      <c r="N32" s="90" t="str">
        <f t="shared" si="2"/>
        <v xml:space="preserve"> </v>
      </c>
      <c r="O32" s="40" t="str">
        <f t="shared" si="3"/>
        <v/>
      </c>
    </row>
    <row r="33" spans="1:15" s="85" customFormat="1" ht="12.75" customHeight="1" x14ac:dyDescent="0.2">
      <c r="A33" s="198" t="s">
        <v>569</v>
      </c>
      <c r="B33" s="199" t="s">
        <v>1032</v>
      </c>
      <c r="C33" s="200" t="s">
        <v>1033</v>
      </c>
      <c r="D33" s="199">
        <v>99912</v>
      </c>
      <c r="E33" s="199" t="s">
        <v>679</v>
      </c>
      <c r="F33" s="199" t="s">
        <v>1018</v>
      </c>
      <c r="G33" s="199" t="s">
        <v>250</v>
      </c>
      <c r="H33" s="85">
        <f>COUNTIFS(pardazesh!$Y$5:$Z$41,D33)</f>
        <v>0</v>
      </c>
      <c r="I33" s="239" t="s">
        <v>3</v>
      </c>
      <c r="J33" s="90" t="str">
        <f t="shared" si="0"/>
        <v xml:space="preserve"> </v>
      </c>
      <c r="K33" s="40" t="str">
        <f t="shared" si="1"/>
        <v/>
      </c>
      <c r="N33" s="90" t="str">
        <f t="shared" si="2"/>
        <v xml:space="preserve"> </v>
      </c>
      <c r="O33" s="40" t="str">
        <f t="shared" si="3"/>
        <v/>
      </c>
    </row>
    <row r="34" spans="1:15" s="85" customFormat="1" ht="12.75" customHeight="1" x14ac:dyDescent="0.2">
      <c r="A34" s="201" t="s">
        <v>570</v>
      </c>
      <c r="B34" s="199" t="s">
        <v>101</v>
      </c>
      <c r="C34" s="200" t="s">
        <v>1574</v>
      </c>
      <c r="D34" s="199" t="s">
        <v>1591</v>
      </c>
      <c r="E34" s="199" t="s">
        <v>679</v>
      </c>
      <c r="F34" s="199" t="s">
        <v>1018</v>
      </c>
      <c r="G34" s="199" t="s">
        <v>250</v>
      </c>
      <c r="H34" s="85">
        <f>COUNTIFS(pardazesh!$Y$5:$Z$41,D34)</f>
        <v>0</v>
      </c>
      <c r="I34" s="239" t="s">
        <v>3</v>
      </c>
      <c r="J34" s="90" t="str">
        <f t="shared" si="0"/>
        <v xml:space="preserve"> </v>
      </c>
      <c r="K34" s="40" t="str">
        <f t="shared" si="1"/>
        <v/>
      </c>
      <c r="N34" s="90" t="str">
        <f t="shared" si="2"/>
        <v xml:space="preserve"> </v>
      </c>
      <c r="O34" s="40" t="str">
        <f t="shared" si="3"/>
        <v/>
      </c>
    </row>
    <row r="35" spans="1:15" s="85" customFormat="1" ht="12.75" customHeight="1" x14ac:dyDescent="0.2">
      <c r="A35" s="198" t="s">
        <v>573</v>
      </c>
      <c r="B35" s="199" t="s">
        <v>58</v>
      </c>
      <c r="C35" s="200" t="s">
        <v>1592</v>
      </c>
      <c r="D35" s="199">
        <v>79121</v>
      </c>
      <c r="E35" s="199" t="s">
        <v>679</v>
      </c>
      <c r="F35" s="199" t="s">
        <v>1018</v>
      </c>
      <c r="G35" s="199" t="s">
        <v>250</v>
      </c>
      <c r="H35" s="85">
        <f>COUNTIFS(pardazesh!$Y$5:$Z$41,D35)</f>
        <v>0</v>
      </c>
      <c r="I35" s="239" t="s">
        <v>3</v>
      </c>
      <c r="J35" s="90" t="str">
        <f t="shared" si="0"/>
        <v xml:space="preserve"> </v>
      </c>
      <c r="K35" s="40" t="str">
        <f t="shared" ref="K35:K39" si="4">IF(AND(H35=0,I35&lt;&gt;"T"),G35,"")</f>
        <v/>
      </c>
      <c r="N35" s="90" t="str">
        <f t="shared" si="2"/>
        <v xml:space="preserve"> </v>
      </c>
      <c r="O35" s="40" t="str">
        <f t="shared" si="3"/>
        <v/>
      </c>
    </row>
    <row r="36" spans="1:15" s="85" customFormat="1" ht="12.75" customHeight="1" x14ac:dyDescent="0.2">
      <c r="A36" s="198" t="s">
        <v>575</v>
      </c>
      <c r="B36" s="220" t="s">
        <v>524</v>
      </c>
      <c r="C36" s="202" t="s">
        <v>141</v>
      </c>
      <c r="D36" s="202" t="s">
        <v>1593</v>
      </c>
      <c r="E36" s="220" t="s">
        <v>679</v>
      </c>
      <c r="F36" s="202" t="s">
        <v>1018</v>
      </c>
      <c r="G36" s="202" t="s">
        <v>250</v>
      </c>
      <c r="H36" s="85">
        <f>COUNTIFS(pardazesh!$Y$5:$Z$41,D36)</f>
        <v>0</v>
      </c>
      <c r="I36" s="239"/>
      <c r="J36" s="90" t="str">
        <f t="shared" si="0"/>
        <v>پيرمحمدي حسن</v>
      </c>
      <c r="K36" s="171" t="str">
        <f t="shared" si="4"/>
        <v>C</v>
      </c>
      <c r="N36" s="172" t="str">
        <f t="shared" si="2"/>
        <v xml:space="preserve"> </v>
      </c>
      <c r="O36" s="40" t="str">
        <f t="shared" si="3"/>
        <v/>
      </c>
    </row>
    <row r="37" spans="1:15" s="85" customFormat="1" ht="12.75" customHeight="1" x14ac:dyDescent="0.2">
      <c r="A37" s="201" t="s">
        <v>578</v>
      </c>
      <c r="B37" s="202" t="s">
        <v>60</v>
      </c>
      <c r="C37" s="202" t="s">
        <v>238</v>
      </c>
      <c r="D37" s="202" t="s">
        <v>701</v>
      </c>
      <c r="E37" s="198" t="s">
        <v>679</v>
      </c>
      <c r="F37" s="198" t="s">
        <v>504</v>
      </c>
      <c r="G37" s="198" t="s">
        <v>250</v>
      </c>
      <c r="H37" s="85">
        <f>COUNTIFS(pardazesh!$Y$5:$Z$41,D37)</f>
        <v>0</v>
      </c>
      <c r="I37" s="239"/>
      <c r="J37" s="90" t="str">
        <f t="shared" si="0"/>
        <v>بناي زيرك كار سعيد</v>
      </c>
      <c r="K37" s="40" t="str">
        <f t="shared" si="4"/>
        <v>C</v>
      </c>
      <c r="N37" s="90" t="str">
        <f t="shared" si="2"/>
        <v xml:space="preserve"> </v>
      </c>
      <c r="O37" s="40" t="str">
        <f t="shared" si="3"/>
        <v/>
      </c>
    </row>
    <row r="38" spans="1:15" s="85" customFormat="1" ht="12.75" customHeight="1" x14ac:dyDescent="0.2">
      <c r="A38" s="198" t="s">
        <v>579</v>
      </c>
      <c r="B38" s="202" t="s">
        <v>1594</v>
      </c>
      <c r="C38" s="202" t="s">
        <v>681</v>
      </c>
      <c r="D38" s="202" t="s">
        <v>702</v>
      </c>
      <c r="E38" s="201" t="s">
        <v>679</v>
      </c>
      <c r="F38" s="201" t="s">
        <v>504</v>
      </c>
      <c r="G38" s="201" t="s">
        <v>250</v>
      </c>
      <c r="H38" s="85">
        <f>COUNTIFS(pardazesh!$Y$5:$Z$41,D38)</f>
        <v>0</v>
      </c>
      <c r="I38" s="239"/>
      <c r="J38" s="90" t="str">
        <f t="shared" si="0"/>
        <v>حسيني سيدمرتضي</v>
      </c>
      <c r="K38" s="40" t="str">
        <f t="shared" si="4"/>
        <v>C</v>
      </c>
      <c r="N38" s="90" t="str">
        <f t="shared" si="2"/>
        <v xml:space="preserve"> </v>
      </c>
      <c r="O38" s="40" t="str">
        <f t="shared" si="3"/>
        <v/>
      </c>
    </row>
    <row r="39" spans="1:15" s="85" customFormat="1" ht="12.75" customHeight="1" x14ac:dyDescent="0.2">
      <c r="A39" s="201" t="s">
        <v>580</v>
      </c>
      <c r="B39" s="202" t="s">
        <v>116</v>
      </c>
      <c r="C39" s="202" t="s">
        <v>1595</v>
      </c>
      <c r="D39" s="202" t="s">
        <v>703</v>
      </c>
      <c r="E39" s="201" t="s">
        <v>679</v>
      </c>
      <c r="F39" s="201" t="s">
        <v>504</v>
      </c>
      <c r="G39" s="201" t="s">
        <v>250</v>
      </c>
      <c r="H39" s="85">
        <f>COUNTIFS(pardazesh!$Y$5:$Z$41,D39)</f>
        <v>0</v>
      </c>
      <c r="I39" s="239"/>
      <c r="J39" s="90" t="str">
        <f t="shared" si="0"/>
        <v>حميد پور ديزج عليرضا</v>
      </c>
      <c r="K39" s="40" t="str">
        <f t="shared" si="4"/>
        <v>C</v>
      </c>
      <c r="N39" s="90" t="str">
        <f t="shared" si="2"/>
        <v xml:space="preserve"> </v>
      </c>
      <c r="O39" s="40" t="str">
        <f t="shared" si="3"/>
        <v/>
      </c>
    </row>
    <row r="40" spans="1:15" ht="12.75" customHeight="1" x14ac:dyDescent="0.25">
      <c r="A40" s="198" t="s">
        <v>582</v>
      </c>
      <c r="B40" s="202"/>
      <c r="C40" s="202"/>
      <c r="D40" s="202" t="s">
        <v>1610</v>
      </c>
      <c r="E40" s="201" t="s">
        <v>679</v>
      </c>
      <c r="F40" s="201" t="s">
        <v>504</v>
      </c>
      <c r="G40" s="201" t="s">
        <v>250</v>
      </c>
      <c r="H40" s="85">
        <f>COUNTIFS(pardazesh!$Y$5:$Z$41,D40)</f>
        <v>0</v>
      </c>
      <c r="I40" s="239" t="s">
        <v>3</v>
      </c>
      <c r="J40" s="90" t="str">
        <f t="shared" ref="J40:J50" si="5">IF(AND(H40=0,I40&lt;&gt;"T"),C40,"")&amp;" "&amp;IF(AND(H40=0,I40&lt;&gt;"T"),B40,"")</f>
        <v xml:space="preserve"> </v>
      </c>
      <c r="K40" s="40" t="str">
        <f t="shared" ref="K40" si="6">IF(AND(H40=0,I40&lt;&gt;"T"),G40,"")</f>
        <v/>
      </c>
      <c r="N40" s="90" t="str">
        <f t="shared" ref="N40:N50" si="7">IF(H40=1,C40,"")&amp;" "&amp;IF(H40=1,B40,"")</f>
        <v xml:space="preserve"> </v>
      </c>
      <c r="O40" s="40" t="str">
        <f t="shared" ref="O40" si="8">IF(H40=1,G40,"")</f>
        <v/>
      </c>
    </row>
    <row r="41" spans="1:15" ht="12.75" customHeight="1" x14ac:dyDescent="0.25">
      <c r="A41" s="198" t="s">
        <v>584</v>
      </c>
      <c r="B41" s="241" t="s">
        <v>197</v>
      </c>
      <c r="C41" s="241" t="s">
        <v>198</v>
      </c>
      <c r="D41" s="202" t="s">
        <v>678</v>
      </c>
      <c r="E41" s="201" t="s">
        <v>679</v>
      </c>
      <c r="F41" s="201" t="s">
        <v>504</v>
      </c>
      <c r="G41" s="201" t="s">
        <v>250</v>
      </c>
      <c r="H41" s="85">
        <f>COUNTIFS(pardazesh!$Y$5:$Z$41,D41)</f>
        <v>0</v>
      </c>
      <c r="I41" s="86"/>
      <c r="J41" s="90" t="str">
        <f t="shared" si="5"/>
        <v>آقا ميري سيد مهدي</v>
      </c>
      <c r="K41" s="40" t="str">
        <f t="shared" ref="K41:K50" si="9">IF(AND(H41=0,I41&lt;&gt;"T"),G41,"")</f>
        <v>C</v>
      </c>
      <c r="N41" s="90" t="str">
        <f t="shared" si="7"/>
        <v xml:space="preserve"> </v>
      </c>
      <c r="O41" s="40" t="str">
        <f t="shared" ref="O41:O50" si="10">IF(H41=1,G41,"")</f>
        <v/>
      </c>
    </row>
    <row r="42" spans="1:15" ht="12.75" customHeight="1" x14ac:dyDescent="0.25">
      <c r="A42" s="201" t="s">
        <v>586</v>
      </c>
      <c r="B42" s="202" t="s">
        <v>227</v>
      </c>
      <c r="C42" s="202" t="s">
        <v>228</v>
      </c>
      <c r="D42" s="202" t="s">
        <v>707</v>
      </c>
      <c r="E42" s="201" t="s">
        <v>679</v>
      </c>
      <c r="F42" s="201" t="s">
        <v>504</v>
      </c>
      <c r="G42" s="201" t="s">
        <v>250</v>
      </c>
      <c r="H42" s="85">
        <f>COUNTIFS(pardazesh!$Y$5:$Z$41,D42)</f>
        <v>0</v>
      </c>
      <c r="I42" s="86"/>
      <c r="J42" s="90" t="str">
        <f t="shared" si="5"/>
        <v>فرج زاده موالو ماهر</v>
      </c>
      <c r="K42" s="40" t="str">
        <f t="shared" si="9"/>
        <v>C</v>
      </c>
      <c r="N42" s="90" t="str">
        <f t="shared" si="7"/>
        <v xml:space="preserve"> </v>
      </c>
      <c r="O42" s="40" t="str">
        <f t="shared" si="10"/>
        <v/>
      </c>
    </row>
    <row r="43" spans="1:15" ht="12.75" customHeight="1" x14ac:dyDescent="0.25">
      <c r="A43" s="198" t="s">
        <v>589</v>
      </c>
      <c r="B43" s="202" t="s">
        <v>73</v>
      </c>
      <c r="C43" s="202" t="s">
        <v>131</v>
      </c>
      <c r="D43" s="202" t="s">
        <v>708</v>
      </c>
      <c r="E43" s="201" t="s">
        <v>679</v>
      </c>
      <c r="F43" s="201" t="s">
        <v>504</v>
      </c>
      <c r="G43" s="201" t="s">
        <v>250</v>
      </c>
      <c r="H43" s="85">
        <f>COUNTIFS(pardazesh!$Y$5:$Z$41,D43)</f>
        <v>0</v>
      </c>
      <c r="I43" s="86"/>
      <c r="J43" s="90" t="str">
        <f t="shared" si="5"/>
        <v>معارف وند علي</v>
      </c>
      <c r="K43" s="40" t="str">
        <f t="shared" si="9"/>
        <v>C</v>
      </c>
      <c r="N43" s="90" t="str">
        <f t="shared" si="7"/>
        <v xml:space="preserve"> </v>
      </c>
      <c r="O43" s="40" t="str">
        <f t="shared" si="10"/>
        <v/>
      </c>
    </row>
    <row r="44" spans="1:15" ht="12.75" customHeight="1" x14ac:dyDescent="0.25">
      <c r="A44" s="198">
        <v>39</v>
      </c>
      <c r="B44" s="202" t="s">
        <v>119</v>
      </c>
      <c r="C44" s="202" t="s">
        <v>1569</v>
      </c>
      <c r="D44" s="202">
        <v>76532</v>
      </c>
      <c r="E44" s="201" t="s">
        <v>679</v>
      </c>
      <c r="F44" s="201" t="s">
        <v>504</v>
      </c>
      <c r="G44" s="201" t="s">
        <v>250</v>
      </c>
      <c r="H44" s="85">
        <f>COUNTIFS(pardazesh!$Y$5:$Z$41,D44)</f>
        <v>0</v>
      </c>
      <c r="I44" s="86"/>
      <c r="J44" s="90" t="str">
        <f t="shared" si="5"/>
        <v>قياسوند محمدرضا</v>
      </c>
      <c r="K44" s="40" t="str">
        <f t="shared" si="9"/>
        <v>C</v>
      </c>
      <c r="N44" s="90" t="str">
        <f t="shared" si="7"/>
        <v xml:space="preserve"> </v>
      </c>
      <c r="O44" s="40" t="str">
        <f t="shared" si="10"/>
        <v/>
      </c>
    </row>
    <row r="45" spans="1:15" ht="12.75" customHeight="1" x14ac:dyDescent="0.25">
      <c r="A45" s="198">
        <v>41</v>
      </c>
      <c r="B45" s="202" t="s">
        <v>1596</v>
      </c>
      <c r="C45" s="202" t="s">
        <v>1597</v>
      </c>
      <c r="D45" s="202">
        <v>75626</v>
      </c>
      <c r="E45" s="201" t="s">
        <v>679</v>
      </c>
      <c r="F45" s="201" t="s">
        <v>504</v>
      </c>
      <c r="G45" s="201" t="s">
        <v>250</v>
      </c>
      <c r="H45" s="85">
        <f>COUNTIFS(pardazesh!$Y$5:$Z$41,D45)</f>
        <v>0</v>
      </c>
      <c r="I45" s="219" t="s">
        <v>3</v>
      </c>
      <c r="J45" s="90" t="str">
        <f t="shared" si="5"/>
        <v xml:space="preserve"> </v>
      </c>
      <c r="K45" s="40" t="str">
        <f t="shared" si="9"/>
        <v/>
      </c>
      <c r="N45" s="90" t="str">
        <f t="shared" si="7"/>
        <v xml:space="preserve"> </v>
      </c>
      <c r="O45" s="40" t="str">
        <f t="shared" si="10"/>
        <v/>
      </c>
    </row>
    <row r="46" spans="1:15" ht="12.75" customHeight="1" x14ac:dyDescent="0.25">
      <c r="A46" s="198">
        <v>42</v>
      </c>
      <c r="B46" s="202" t="s">
        <v>944</v>
      </c>
      <c r="C46" s="202" t="s">
        <v>1571</v>
      </c>
      <c r="D46" s="202">
        <v>75634</v>
      </c>
      <c r="E46" s="201" t="s">
        <v>679</v>
      </c>
      <c r="F46" s="201" t="s">
        <v>504</v>
      </c>
      <c r="G46" s="201" t="s">
        <v>250</v>
      </c>
      <c r="H46" s="85">
        <f>COUNTIFS(pardazesh!$Y$5:$Z$41,D46)</f>
        <v>0</v>
      </c>
      <c r="I46" s="219" t="s">
        <v>3</v>
      </c>
      <c r="J46" s="90" t="str">
        <f t="shared" si="5"/>
        <v xml:space="preserve"> </v>
      </c>
      <c r="K46" s="40" t="str">
        <f t="shared" si="9"/>
        <v/>
      </c>
      <c r="N46" s="90" t="str">
        <f t="shared" si="7"/>
        <v xml:space="preserve"> </v>
      </c>
      <c r="O46" s="40" t="str">
        <f t="shared" si="10"/>
        <v/>
      </c>
    </row>
    <row r="47" spans="1:15" ht="12.75" customHeight="1" x14ac:dyDescent="0.25">
      <c r="A47" s="198">
        <v>43</v>
      </c>
      <c r="B47" s="202" t="s">
        <v>955</v>
      </c>
      <c r="C47" s="202" t="s">
        <v>1598</v>
      </c>
      <c r="D47" s="202">
        <v>75197</v>
      </c>
      <c r="E47" s="201" t="s">
        <v>9</v>
      </c>
      <c r="F47" s="201" t="s">
        <v>504</v>
      </c>
      <c r="G47" s="201" t="s">
        <v>250</v>
      </c>
      <c r="H47" s="85">
        <f>COUNTIFS(pardazesh!$Y$5:$Z$41,D47)</f>
        <v>0</v>
      </c>
      <c r="I47" s="86" t="s">
        <v>3</v>
      </c>
      <c r="J47" s="90" t="str">
        <f t="shared" si="5"/>
        <v xml:space="preserve"> </v>
      </c>
      <c r="K47" s="40" t="str">
        <f t="shared" si="9"/>
        <v/>
      </c>
      <c r="N47" s="90" t="str">
        <f t="shared" si="7"/>
        <v xml:space="preserve"> </v>
      </c>
      <c r="O47" s="40" t="str">
        <f t="shared" si="10"/>
        <v/>
      </c>
    </row>
    <row r="48" spans="1:15" ht="12.75" customHeight="1" x14ac:dyDescent="0.25">
      <c r="A48" s="198">
        <v>44</v>
      </c>
      <c r="B48" s="202"/>
      <c r="C48" s="202"/>
      <c r="D48" s="205">
        <v>111111</v>
      </c>
      <c r="E48" s="201" t="s">
        <v>9</v>
      </c>
      <c r="F48" s="201" t="s">
        <v>504</v>
      </c>
      <c r="G48" s="201" t="s">
        <v>250</v>
      </c>
      <c r="H48" s="85">
        <f>COUNTIFS(pardazesh!$Y$5:$Z$41,D48)</f>
        <v>0</v>
      </c>
      <c r="I48" s="86" t="s">
        <v>3</v>
      </c>
      <c r="J48" s="90" t="str">
        <f t="shared" si="5"/>
        <v xml:space="preserve"> </v>
      </c>
      <c r="K48" s="40" t="str">
        <f t="shared" si="9"/>
        <v/>
      </c>
      <c r="N48" s="90" t="str">
        <f t="shared" si="7"/>
        <v xml:space="preserve"> </v>
      </c>
      <c r="O48" s="40" t="str">
        <f t="shared" si="10"/>
        <v/>
      </c>
    </row>
    <row r="49" spans="1:15" ht="12.75" customHeight="1" x14ac:dyDescent="0.25">
      <c r="A49" s="198">
        <v>45</v>
      </c>
      <c r="B49" s="202" t="s">
        <v>147</v>
      </c>
      <c r="C49" s="202" t="s">
        <v>220</v>
      </c>
      <c r="D49" s="206" t="s">
        <v>706</v>
      </c>
      <c r="E49" s="198" t="s">
        <v>9</v>
      </c>
      <c r="F49" s="198" t="s">
        <v>504</v>
      </c>
      <c r="G49" s="198" t="s">
        <v>250</v>
      </c>
      <c r="H49" s="85">
        <f>COUNTIFS(pardazesh!$Y$5:$Z$41,D49)</f>
        <v>0</v>
      </c>
      <c r="I49" s="82"/>
      <c r="J49" s="90" t="str">
        <f t="shared" si="5"/>
        <v>عيني داود</v>
      </c>
      <c r="K49" s="40" t="str">
        <f t="shared" si="9"/>
        <v>C</v>
      </c>
      <c r="N49" s="90" t="str">
        <f t="shared" si="7"/>
        <v xml:space="preserve"> </v>
      </c>
      <c r="O49" s="40" t="str">
        <f t="shared" si="10"/>
        <v/>
      </c>
    </row>
    <row r="50" spans="1:15" ht="12.75" customHeight="1" x14ac:dyDescent="0.25">
      <c r="A50" s="198" t="s">
        <v>602</v>
      </c>
      <c r="B50" s="202"/>
      <c r="C50" s="202"/>
      <c r="D50" s="206">
        <v>1111</v>
      </c>
      <c r="E50" s="198" t="s">
        <v>679</v>
      </c>
      <c r="F50" s="198" t="s">
        <v>504</v>
      </c>
      <c r="G50" s="198" t="s">
        <v>249</v>
      </c>
      <c r="H50" s="85">
        <f>COUNTIFS(pardazesh!$Y$5:$Z$41,D50)</f>
        <v>0</v>
      </c>
      <c r="I50" s="219" t="s">
        <v>3</v>
      </c>
      <c r="J50" s="90" t="str">
        <f t="shared" si="5"/>
        <v xml:space="preserve"> </v>
      </c>
      <c r="K50" s="40" t="str">
        <f t="shared" si="9"/>
        <v/>
      </c>
      <c r="N50" s="90" t="str">
        <f t="shared" si="7"/>
        <v xml:space="preserve"> </v>
      </c>
      <c r="O50" s="40" t="str">
        <f t="shared" si="10"/>
        <v/>
      </c>
    </row>
    <row r="53" spans="1:15" x14ac:dyDescent="0.25">
      <c r="C53" s="241"/>
      <c r="D53" s="241"/>
    </row>
    <row r="54" spans="1:15" x14ac:dyDescent="0.25">
      <c r="C54" s="192"/>
      <c r="D54" s="192"/>
    </row>
    <row r="57" spans="1:15" x14ac:dyDescent="0.25">
      <c r="C57" s="202"/>
      <c r="D57" s="202"/>
    </row>
    <row r="58" spans="1:15" x14ac:dyDescent="0.25">
      <c r="C58" s="202"/>
      <c r="D58" s="202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Sheet1</vt:lpstr>
      <vt:lpstr>selected-lohe</vt:lpstr>
      <vt:lpstr>pardazesh</vt:lpstr>
      <vt:lpstr>Sheet8</vt:lpstr>
      <vt:lpstr>Shift-GOL</vt:lpstr>
      <vt:lpstr>Shift-TEH</vt:lpstr>
      <vt:lpstr>asrG</vt:lpstr>
      <vt:lpstr>asrT</vt:lpstr>
      <vt:lpstr>pardazesh!Criteria</vt:lpstr>
      <vt:lpstr>'selected-lohe'!Criteria</vt:lpstr>
      <vt:lpstr>pardazesh!Extract</vt:lpstr>
      <vt:lpstr>pardazesh!Print_Area</vt:lpstr>
      <vt:lpstr>sobG</vt:lpstr>
      <vt:lpstr>sobT</vt:lpstr>
      <vt:lpstr>timesG_aadi</vt:lpstr>
      <vt:lpstr>timesG_jome</vt:lpstr>
      <vt:lpstr>timesG_pang</vt:lpstr>
      <vt:lpstr>timesT_aadi</vt:lpstr>
      <vt:lpstr>timesT_jome</vt:lpstr>
      <vt:lpstr>timesT_pang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Hosein Dashti</cp:lastModifiedBy>
  <cp:lastPrinted>2023-05-26T15:09:08Z</cp:lastPrinted>
  <dcterms:created xsi:type="dcterms:W3CDTF">2022-01-26T04:43:40Z</dcterms:created>
  <dcterms:modified xsi:type="dcterms:W3CDTF">2026-09-15T19:58:13Z</dcterms:modified>
</cp:coreProperties>
</file>